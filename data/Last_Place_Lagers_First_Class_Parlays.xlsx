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" sheetId="1" r:id="rId5"/>
    <sheet state="visible" name="2025" sheetId="2" r:id="rId6"/>
    <sheet state="visible" name="All Time" sheetId="3" r:id="rId7"/>
  </sheets>
  <definedNames/>
  <calcPr/>
</workbook>
</file>

<file path=xl/sharedStrings.xml><?xml version="1.0" encoding="utf-8"?>
<sst xmlns="http://schemas.openxmlformats.org/spreadsheetml/2006/main" count="2814" uniqueCount="714">
  <si>
    <t>Week 1</t>
  </si>
  <si>
    <t>Austin</t>
  </si>
  <si>
    <t>Carson</t>
  </si>
  <si>
    <t>Clayton</t>
  </si>
  <si>
    <t>Dan</t>
  </si>
  <si>
    <t>Hunter</t>
  </si>
  <si>
    <t>Jake</t>
  </si>
  <si>
    <t>Nick</t>
  </si>
  <si>
    <t>Tanner</t>
  </si>
  <si>
    <t>Taylon</t>
  </si>
  <si>
    <t>Trey</t>
  </si>
  <si>
    <t>Parlay</t>
  </si>
  <si>
    <t>Pick</t>
  </si>
  <si>
    <t>Odds</t>
  </si>
  <si>
    <t>Week 6</t>
  </si>
  <si>
    <t>Commanders -3.5</t>
  </si>
  <si>
    <t>Steelers Moneyline</t>
  </si>
  <si>
    <t>Panthers +3.5</t>
  </si>
  <si>
    <t>Cardinals -6.5</t>
  </si>
  <si>
    <t>B. Bowers 76+ Rec. Yards</t>
  </si>
  <si>
    <t>Texans +2.5</t>
  </si>
  <si>
    <t>J. Burrow Over 7.5 Rush Yards</t>
  </si>
  <si>
    <t>Broncos -6.5</t>
  </si>
  <si>
    <t>Seahawks Under 20.5 Points</t>
  </si>
  <si>
    <t>J. Gibbs ATD</t>
  </si>
  <si>
    <t>Aubrey 1.5+ FG</t>
  </si>
  <si>
    <t>Bears -2.5</t>
  </si>
  <si>
    <t>London Anytime TD</t>
  </si>
  <si>
    <t>Texans -6.5</t>
  </si>
  <si>
    <t>Under 47.5 Points</t>
  </si>
  <si>
    <t>Buccaneers -2.5</t>
  </si>
  <si>
    <t>Bengals 1st Half Moneyline</t>
  </si>
  <si>
    <t>Reed 56+ Rec Yards</t>
  </si>
  <si>
    <t>Cooper 53+ Rec Yards</t>
  </si>
  <si>
    <t>Henry Anytime TD</t>
  </si>
  <si>
    <t>*Pick Made For Me*</t>
  </si>
  <si>
    <t>Return</t>
  </si>
  <si>
    <t>Matchup</t>
  </si>
  <si>
    <t>Giants @ Commanders</t>
  </si>
  <si>
    <t>Steelers @ Jets</t>
  </si>
  <si>
    <t>Panthers @ Jaguars</t>
  </si>
  <si>
    <t>Cardinals @ Saints</t>
  </si>
  <si>
    <t>Raiders @ Patriots</t>
  </si>
  <si>
    <t>Texans @ Rams</t>
  </si>
  <si>
    <t>Bengals @ Browns</t>
  </si>
  <si>
    <t>Titans @ Broncos</t>
  </si>
  <si>
    <t>49ers @ Seahawks</t>
  </si>
  <si>
    <t>Lions @ Packers</t>
  </si>
  <si>
    <t>Outcome</t>
  </si>
  <si>
    <t>34-32</t>
  </si>
  <si>
    <t>20-13</t>
  </si>
  <si>
    <t>103 Rec. Yards</t>
  </si>
  <si>
    <t>3 Rush Yards</t>
  </si>
  <si>
    <t>17-13</t>
  </si>
  <si>
    <t>0 TD</t>
  </si>
  <si>
    <t>Lions @ Cowboys</t>
  </si>
  <si>
    <t>This Week</t>
  </si>
  <si>
    <t>Cumulative</t>
  </si>
  <si>
    <t>Jaguars vs Bears</t>
  </si>
  <si>
    <t>W/L</t>
  </si>
  <si>
    <t>W</t>
  </si>
  <si>
    <t>Falcons @ Panthers</t>
  </si>
  <si>
    <t>L</t>
  </si>
  <si>
    <t>Texans @ Patriots</t>
  </si>
  <si>
    <t>Colts @ Titans</t>
  </si>
  <si>
    <t>Best Handicapper</t>
  </si>
  <si>
    <t>Buccaneers @ Saints</t>
  </si>
  <si>
    <t>Bengals @ Giants</t>
  </si>
  <si>
    <t>Cardinals @ Packers</t>
  </si>
  <si>
    <t>Browns @ Eagles</t>
  </si>
  <si>
    <t>Commanders @ Ravens</t>
  </si>
  <si>
    <t>3 FG</t>
  </si>
  <si>
    <t>16-35</t>
  </si>
  <si>
    <t>1 TD</t>
  </si>
  <si>
    <t>41-21</t>
  </si>
  <si>
    <t>20-17</t>
  </si>
  <si>
    <t>51-27</t>
  </si>
  <si>
    <t>7-0</t>
  </si>
  <si>
    <t>28 Rec Yards</t>
  </si>
  <si>
    <t>42 Rec Yards</t>
  </si>
  <si>
    <t>2 TD</t>
  </si>
  <si>
    <t>Wins</t>
  </si>
  <si>
    <t>Worst Handicapper</t>
  </si>
  <si>
    <t>Losses</t>
  </si>
  <si>
    <t>Ballsiest Bettor</t>
  </si>
  <si>
    <t>Win %</t>
  </si>
  <si>
    <t>Parlay Pussy</t>
  </si>
  <si>
    <t>Average Odds</t>
  </si>
  <si>
    <t>"If I bet $10 every week"</t>
  </si>
  <si>
    <t>"If I placed all 10 bets @ $10 each week"</t>
  </si>
  <si>
    <t>Week 7</t>
  </si>
  <si>
    <t>Week 2</t>
  </si>
  <si>
    <t>C. Little Over 1.5 FGs Made</t>
  </si>
  <si>
    <t>Eagles Moneyline</t>
  </si>
  <si>
    <t>Bears +6.5</t>
  </si>
  <si>
    <t>Chiefs +3.5</t>
  </si>
  <si>
    <t>Cowboys -5.5</t>
  </si>
  <si>
    <t>Bengals Moneyline</t>
  </si>
  <si>
    <t>S. Diggs Long Rec. Over 18.5 Yards</t>
  </si>
  <si>
    <t>Commanders -6.5</t>
  </si>
  <si>
    <t>Bills @ Jets Over 48.5</t>
  </si>
  <si>
    <t>Eagles -2.5</t>
  </si>
  <si>
    <t>J. Johnson Over 3.5 Receptions</t>
  </si>
  <si>
    <t>Rams -6.5</t>
  </si>
  <si>
    <t>Chargers -2.5</t>
  </si>
  <si>
    <t>Steelers -2.5</t>
  </si>
  <si>
    <t>Vikings -3.5</t>
  </si>
  <si>
    <t>Jaguars -6.5</t>
  </si>
  <si>
    <t>Bills 1st Half ML &amp; Under 20.5</t>
  </si>
  <si>
    <t>Lions Moneyline</t>
  </si>
  <si>
    <t>Metcalf Anytime TD</t>
  </si>
  <si>
    <t>Jets -1.5</t>
  </si>
  <si>
    <t>Jaguars @ Bengals</t>
  </si>
  <si>
    <t>Eagles @ Chiefs</t>
  </si>
  <si>
    <t>Bears @ Lions</t>
  </si>
  <si>
    <t>Giants @ Cowboys</t>
  </si>
  <si>
    <t>Patriots @ Dolphins</t>
  </si>
  <si>
    <t>Bills @ Jets</t>
  </si>
  <si>
    <t>49ers @ Saints</t>
  </si>
  <si>
    <t>Chargers @ Raiders</t>
  </si>
  <si>
    <t>Seahawks @ Steelers</t>
  </si>
  <si>
    <t>Falcons @ Vikings</t>
  </si>
  <si>
    <t>2 FGs Made</t>
  </si>
  <si>
    <t>21-52</t>
  </si>
  <si>
    <t>37-40</t>
  </si>
  <si>
    <t>Long Rec. 10 Yards</t>
  </si>
  <si>
    <t>30-10</t>
  </si>
  <si>
    <t>5 Receptions</t>
  </si>
  <si>
    <t>20-9</t>
  </si>
  <si>
    <t>31-17</t>
  </si>
  <si>
    <t>22-6</t>
  </si>
  <si>
    <t>Chiefs @ 49ers</t>
  </si>
  <si>
    <t>Panthers @ Commanders</t>
  </si>
  <si>
    <t>Eagles @ Giants</t>
  </si>
  <si>
    <t>Raiders @ Rams</t>
  </si>
  <si>
    <t>Patriots vs Jaguars</t>
  </si>
  <si>
    <t>Titans @ Bills</t>
  </si>
  <si>
    <t>Lions @ Vikings</t>
  </si>
  <si>
    <t>Seahawks @ Falcons</t>
  </si>
  <si>
    <t>Jets @ Steelers</t>
  </si>
  <si>
    <t>28-18</t>
  </si>
  <si>
    <t>21-14</t>
  </si>
  <si>
    <t>7-40</t>
  </si>
  <si>
    <t>28-3</t>
  </si>
  <si>
    <t>15-20</t>
  </si>
  <si>
    <t>16-32</t>
  </si>
  <si>
    <t>10-7 Halftime</t>
  </si>
  <si>
    <t>31-29</t>
  </si>
  <si>
    <t>15-37</t>
  </si>
  <si>
    <t>Week 3</t>
  </si>
  <si>
    <t>S. Shrader Over 1.5 FGs</t>
  </si>
  <si>
    <t>Vikings Moneyline</t>
  </si>
  <si>
    <t>P. Mahomes Over 1.5 Pass TDs</t>
  </si>
  <si>
    <t>Cowboys -1.5</t>
  </si>
  <si>
    <t>Texans Moneyline</t>
  </si>
  <si>
    <t>Ravens -4.5</t>
  </si>
  <si>
    <t>Steelers Over 22.5 Points</t>
  </si>
  <si>
    <t>Commanders Under 22.5 Points</t>
  </si>
  <si>
    <t>Chargers Moneyline</t>
  </si>
  <si>
    <t>J. Jacobs ATD</t>
  </si>
  <si>
    <t>Week 8</t>
  </si>
  <si>
    <t>Nix 202+ Pass Yards</t>
  </si>
  <si>
    <t>Packers Moneyline</t>
  </si>
  <si>
    <t>Chiefs 1st Half -5.5</t>
  </si>
  <si>
    <t>Jets -7.5</t>
  </si>
  <si>
    <t>Siebert 1.5+ FGs</t>
  </si>
  <si>
    <t>Robinson Anytime TD</t>
  </si>
  <si>
    <t>Allen 218+ Pass Yards</t>
  </si>
  <si>
    <t>Steelers -6.5</t>
  </si>
  <si>
    <t>Aubrey Over 1.5 FGs</t>
  </si>
  <si>
    <t>Montgomery Anytime TD</t>
  </si>
  <si>
    <t>Bengals @ Vikings</t>
  </si>
  <si>
    <t>Chiefs @ Giants</t>
  </si>
  <si>
    <t>Cowboys @ Bears</t>
  </si>
  <si>
    <t>Texans @ Jaguars</t>
  </si>
  <si>
    <t>Lions @ Ravens</t>
  </si>
  <si>
    <t>Steelers @ Patriots</t>
  </si>
  <si>
    <t>Raiders @ Commanders</t>
  </si>
  <si>
    <t>Broncos @ Chargers</t>
  </si>
  <si>
    <t>Packers @ Browns</t>
  </si>
  <si>
    <t>10-48</t>
  </si>
  <si>
    <t>1 Pass TD</t>
  </si>
  <si>
    <t>14-31</t>
  </si>
  <si>
    <t>38-30</t>
  </si>
  <si>
    <t>24-41</t>
  </si>
  <si>
    <t>20-23</t>
  </si>
  <si>
    <t>0 TD &amp; Packers Lose</t>
  </si>
  <si>
    <t>Panthers @ Broncos</t>
  </si>
  <si>
    <t>Packers @ Jaguars</t>
  </si>
  <si>
    <t>Chiefs @ Raiders</t>
  </si>
  <si>
    <t>Jets @ Patriots</t>
  </si>
  <si>
    <t>Bears @ Commanders</t>
  </si>
  <si>
    <t>Falcons @ Buccaneers</t>
  </si>
  <si>
    <t>Bills @ Seahawks</t>
  </si>
  <si>
    <t>Giants @ Steelers</t>
  </si>
  <si>
    <t>Cowboys @ 49ers</t>
  </si>
  <si>
    <t>Titans @ Lions</t>
  </si>
  <si>
    <t>284 Pass Yards</t>
  </si>
  <si>
    <t>30-27</t>
  </si>
  <si>
    <t>17-10</t>
  </si>
  <si>
    <t>22-25</t>
  </si>
  <si>
    <t>4 Field Goals</t>
  </si>
  <si>
    <t>283 Pass Yards</t>
  </si>
  <si>
    <t>18-26</t>
  </si>
  <si>
    <t>1 FG</t>
  </si>
  <si>
    <t>Week 4</t>
  </si>
  <si>
    <t>C</t>
  </si>
  <si>
    <t>Saints +17.5</t>
  </si>
  <si>
    <t>Commanders +3.5</t>
  </si>
  <si>
    <t>Ravens -2.5</t>
  </si>
  <si>
    <t>J. Gibbs Over 93.5 Rush+Rec. Yards</t>
  </si>
  <si>
    <t>Eagles -3.5</t>
  </si>
  <si>
    <t>Chargers -6.5</t>
  </si>
  <si>
    <t>C. Williams Over 1.5 Pass TDs</t>
  </si>
  <si>
    <t>Johnathan Taylor Over 2.5 Recs</t>
  </si>
  <si>
    <t>Over 5.5 Total TDs</t>
  </si>
  <si>
    <t>Week 9</t>
  </si>
  <si>
    <t>Rams -2.5</t>
  </si>
  <si>
    <t>Commanders Moneyline</t>
  </si>
  <si>
    <t>3.5+ Total Field Goals</t>
  </si>
  <si>
    <t>Over 47.5</t>
  </si>
  <si>
    <t>Eagles -6.5</t>
  </si>
  <si>
    <t>Saints -7.5</t>
  </si>
  <si>
    <t>Allen 237+ Pass Yards</t>
  </si>
  <si>
    <t>Bengals -6.5</t>
  </si>
  <si>
    <t>Nix 219+ Pass Yards</t>
  </si>
  <si>
    <t>Gibbs Any TD</t>
  </si>
  <si>
    <t>Vikings @ Steelers</t>
  </si>
  <si>
    <t>Saints @ Bills</t>
  </si>
  <si>
    <t>Commanders @ Falcons</t>
  </si>
  <si>
    <t>Ravens @ Chiefs</t>
  </si>
  <si>
    <t>Browns @ Lions</t>
  </si>
  <si>
    <t>Eagles @ Bucaneers</t>
  </si>
  <si>
    <t>Chargers @ Giants</t>
  </si>
  <si>
    <t>Bengals @ Broncos</t>
  </si>
  <si>
    <t>Colts @ Rams</t>
  </si>
  <si>
    <t>Packers @ Cowboys</t>
  </si>
  <si>
    <t>21-24</t>
  </si>
  <si>
    <t>19-31</t>
  </si>
  <si>
    <t>27-34</t>
  </si>
  <si>
    <t>20-37</t>
  </si>
  <si>
    <t>97 Rush+Rec. Yards</t>
  </si>
  <si>
    <t>31-25</t>
  </si>
  <si>
    <t>18-21</t>
  </si>
  <si>
    <t>5 Recs</t>
  </si>
  <si>
    <t>10 TDs</t>
  </si>
  <si>
    <t>Week 5</t>
  </si>
  <si>
    <t>K. Miller Over 34.5 Rush Yards</t>
  </si>
  <si>
    <t>Ravens +3.5</t>
  </si>
  <si>
    <t>Buccaneers Over 19.5 Points</t>
  </si>
  <si>
    <t>Over 5.5 Total Touchdowns</t>
  </si>
  <si>
    <t>Broncos Moneyline</t>
  </si>
  <si>
    <t>Dolphins Moneyline</t>
  </si>
  <si>
    <t>Lions -8.5</t>
  </si>
  <si>
    <t>Cowboys -2.5</t>
  </si>
  <si>
    <t>Rams @ Seahawks</t>
  </si>
  <si>
    <t>Commanders @ Giants</t>
  </si>
  <si>
    <t>Buccaneers @ Chiefs</t>
  </si>
  <si>
    <t>Cowboys @ Falcons</t>
  </si>
  <si>
    <t>Jaguars @ Eagles</t>
  </si>
  <si>
    <t>Saints @ Panthers</t>
  </si>
  <si>
    <t>Dolphins @ Bills</t>
  </si>
  <si>
    <t>Raiders @ Bengals</t>
  </si>
  <si>
    <t>Broncos @ Ravens</t>
  </si>
  <si>
    <t>26-20</t>
  </si>
  <si>
    <t>27-22</t>
  </si>
  <si>
    <t>2 Field Goals</t>
  </si>
  <si>
    <t>21-27</t>
  </si>
  <si>
    <t>23-28</t>
  </si>
  <si>
    <t>22-23</t>
  </si>
  <si>
    <t>235 Pass Yards</t>
  </si>
  <si>
    <t>223 Pass Yards</t>
  </si>
  <si>
    <t>Week 10</t>
  </si>
  <si>
    <t>Butker Over 2.5 Extra Points</t>
  </si>
  <si>
    <t>Jets Moneyline</t>
  </si>
  <si>
    <t>Saints +3.5</t>
  </si>
  <si>
    <t>Bills -2.5</t>
  </si>
  <si>
    <t>Otton Any TD</t>
  </si>
  <si>
    <t>Steelers +3.5</t>
  </si>
  <si>
    <t>Achane Any TD</t>
  </si>
  <si>
    <t>Hurts Any TD &amp; Eagles Win</t>
  </si>
  <si>
    <t>Vikings -6.5</t>
  </si>
  <si>
    <t>Gibbs Over 2.5 Receptions</t>
  </si>
  <si>
    <t>Giants @ Saints</t>
  </si>
  <si>
    <t>Texans @ Ravens</t>
  </si>
  <si>
    <t>Buccaneers @ Seahawks</t>
  </si>
  <si>
    <t>Commanders @ Chargers</t>
  </si>
  <si>
    <t>Raiders @ Colts</t>
  </si>
  <si>
    <t>Broncos @ Eagles</t>
  </si>
  <si>
    <t>Vikings @ Browns</t>
  </si>
  <si>
    <t>Dolphins @ Panthers</t>
  </si>
  <si>
    <t>Lions @ Bengals</t>
  </si>
  <si>
    <t>Cowboys @ Jets</t>
  </si>
  <si>
    <t>41 Rush Yards</t>
  </si>
  <si>
    <t>10-44</t>
  </si>
  <si>
    <t>38-35</t>
  </si>
  <si>
    <t>27-10</t>
  </si>
  <si>
    <t>6 Touchdowns</t>
  </si>
  <si>
    <t>21-17</t>
  </si>
  <si>
    <t>24-27</t>
  </si>
  <si>
    <t>37-24</t>
  </si>
  <si>
    <t>37-22</t>
  </si>
  <si>
    <t>J. Karty Over 1.5 Extra Points</t>
  </si>
  <si>
    <t>Lions +1.5</t>
  </si>
  <si>
    <t>R. White ATD</t>
  </si>
  <si>
    <t>Colts -6.5</t>
  </si>
  <si>
    <t>Patriots Moneyline</t>
  </si>
  <si>
    <t>Steelers -5.5</t>
  </si>
  <si>
    <t>Under 52.5</t>
  </si>
  <si>
    <t>C. Brown Under 70.5 Combined Yards</t>
  </si>
  <si>
    <t>Over 3.5 Field Goals</t>
  </si>
  <si>
    <t>Broncos @ Chiefs</t>
  </si>
  <si>
    <t>Jets @ Cardinals</t>
  </si>
  <si>
    <t>Falcons @ Saints</t>
  </si>
  <si>
    <t>Bills @ Colts</t>
  </si>
  <si>
    <t>49ers @ Buccaneers</t>
  </si>
  <si>
    <t>Steelers @ Commanders</t>
  </si>
  <si>
    <t>Dolphins @ Rams</t>
  </si>
  <si>
    <t>Eagles @ Cowboys</t>
  </si>
  <si>
    <t>Vikings @ Jaguars</t>
  </si>
  <si>
    <t>Lions @ Texans</t>
  </si>
  <si>
    <t>1 Extra Point</t>
  </si>
  <si>
    <t>6-31</t>
  </si>
  <si>
    <t>17-20</t>
  </si>
  <si>
    <t>30-20</t>
  </si>
  <si>
    <t>No TD</t>
  </si>
  <si>
    <t>28-27</t>
  </si>
  <si>
    <t>2 TDs &amp; Eagles Win</t>
  </si>
  <si>
    <t>2 Receptions</t>
  </si>
  <si>
    <t>Week 11</t>
  </si>
  <si>
    <t>Spears 2.5+ Receptions</t>
  </si>
  <si>
    <t>Falcons +1.5</t>
  </si>
  <si>
    <t>St. Brown Any TD &amp; Lions Win</t>
  </si>
  <si>
    <t>Rams -4.5</t>
  </si>
  <si>
    <t>Tillman Any TD</t>
  </si>
  <si>
    <t>Love 220+ Pass Yards</t>
  </si>
  <si>
    <t>49ers -6.5</t>
  </si>
  <si>
    <t>Wilson 2+ Pass TDs</t>
  </si>
  <si>
    <t>Achane Any TD &amp; Dolphins Win</t>
  </si>
  <si>
    <t>Rams @ Ravens</t>
  </si>
  <si>
    <t>Lions @ Chiefs</t>
  </si>
  <si>
    <t>Cardinals @ Colts</t>
  </si>
  <si>
    <t>Patriots @ Saints</t>
  </si>
  <si>
    <t>Browns @ Steelers</t>
  </si>
  <si>
    <t>Broncos @ Jets</t>
  </si>
  <si>
    <t>Bills @ Falcons</t>
  </si>
  <si>
    <t>Bengals @ Packers</t>
  </si>
  <si>
    <t>Cowboys @ Panthers</t>
  </si>
  <si>
    <t>2 Extra Points</t>
  </si>
  <si>
    <t>17-30</t>
  </si>
  <si>
    <t>27-31</t>
  </si>
  <si>
    <t>25-19</t>
  </si>
  <si>
    <t>13-11</t>
  </si>
  <si>
    <t>14-24</t>
  </si>
  <si>
    <t>49 Combined Yards</t>
  </si>
  <si>
    <t>5 Field Goals</t>
  </si>
  <si>
    <t>Patriots -6.5</t>
  </si>
  <si>
    <t>Browns -2.5</t>
  </si>
  <si>
    <t>Colts Moneyline</t>
  </si>
  <si>
    <t>R. Rice Any Touchdown</t>
  </si>
  <si>
    <t>Falcons Moneyline</t>
  </si>
  <si>
    <t>Cowboys Moneyline</t>
  </si>
  <si>
    <t>Under 48.5</t>
  </si>
  <si>
    <t>R. Dowdle Long Rush Over 13.5 Yards</t>
  </si>
  <si>
    <t>Buccaneers +6.5</t>
  </si>
  <si>
    <t>Vikings @ Titans</t>
  </si>
  <si>
    <t>Falcons @ Broncos</t>
  </si>
  <si>
    <t>Lions @ Jaguars</t>
  </si>
  <si>
    <t>Rams @ Patriots</t>
  </si>
  <si>
    <t>Browns @ Saints</t>
  </si>
  <si>
    <t>Chiefs @ Bills</t>
  </si>
  <si>
    <t>Packers @ Bears</t>
  </si>
  <si>
    <t>Seahawks @ 49ers</t>
  </si>
  <si>
    <t>Ravens @ Steelers</t>
  </si>
  <si>
    <t>Raiders @ Dolphins</t>
  </si>
  <si>
    <t>6-38</t>
  </si>
  <si>
    <t>2 TDs &amp; Lions Win</t>
  </si>
  <si>
    <t>28-22</t>
  </si>
  <si>
    <t>0 TDs</t>
  </si>
  <si>
    <t>21-30</t>
  </si>
  <si>
    <t>261 Pass Yards</t>
  </si>
  <si>
    <t>0 Pass TDs</t>
  </si>
  <si>
    <t>1 TD &amp; Dolphins Win</t>
  </si>
  <si>
    <t>Patriots @ Titans</t>
  </si>
  <si>
    <t>Dolphins @ Browns</t>
  </si>
  <si>
    <t>Eagles @ Vikings</t>
  </si>
  <si>
    <t>Colts @ Chargers</t>
  </si>
  <si>
    <t>Raiders @ Chiefs</t>
  </si>
  <si>
    <t>Falcons @ 49ers</t>
  </si>
  <si>
    <t>Commanders @ Cowboys</t>
  </si>
  <si>
    <t>Saints @ Bears</t>
  </si>
  <si>
    <t>Panthers @ Jets</t>
  </si>
  <si>
    <t>Buccaneers @ Lions</t>
  </si>
  <si>
    <t>31-13</t>
  </si>
  <si>
    <t>38-24</t>
  </si>
  <si>
    <t>2 Touchdowns</t>
  </si>
  <si>
    <t>22-44</t>
  </si>
  <si>
    <t>14-26</t>
  </si>
  <si>
    <t>Long Rush 13 Yards</t>
  </si>
  <si>
    <t>Week 13</t>
  </si>
  <si>
    <t>J. Smith 43+ Receiving Yards</t>
  </si>
  <si>
    <t>Commanders -5.5</t>
  </si>
  <si>
    <t>Seahawks Moneyline</t>
  </si>
  <si>
    <t>Cardinals Moneyline</t>
  </si>
  <si>
    <t>Colts -2.5</t>
  </si>
  <si>
    <t>Buccaneers -4.5</t>
  </si>
  <si>
    <t>Bills -6.5</t>
  </si>
  <si>
    <t>T. Warren Any TD &amp; Colts Win</t>
  </si>
  <si>
    <t>Packers -3.5</t>
  </si>
  <si>
    <t>T. Kelce Any TD</t>
  </si>
  <si>
    <t>Bills First to 15 Points</t>
  </si>
  <si>
    <t>49ers Moneyline</t>
  </si>
  <si>
    <t>Giants +10.5</t>
  </si>
  <si>
    <t>Over 44.5</t>
  </si>
  <si>
    <t>J. Williams Any Touchdown</t>
  </si>
  <si>
    <t>Dolphins @ Packers</t>
  </si>
  <si>
    <t>Titans @ Commanders</t>
  </si>
  <si>
    <t>Seahawks @ Jets</t>
  </si>
  <si>
    <t>Steelers @ Bengals</t>
  </si>
  <si>
    <t>Chargers @ Falcons</t>
  </si>
  <si>
    <t>Cardinals @ Vikings</t>
  </si>
  <si>
    <t>Colts @ Patriots</t>
  </si>
  <si>
    <t>Buccaneers @ Panthers</t>
  </si>
  <si>
    <t>49ers @ Bills</t>
  </si>
  <si>
    <t>J. Smith 113 Receiving Yards</t>
  </si>
  <si>
    <t>42-19</t>
  </si>
  <si>
    <t>26-21</t>
  </si>
  <si>
    <t>44-38</t>
  </si>
  <si>
    <t>25-24</t>
  </si>
  <si>
    <t>23-20</t>
  </si>
  <si>
    <t>26-23</t>
  </si>
  <si>
    <t>10-35</t>
  </si>
  <si>
    <t>Titans @ Colts</t>
  </si>
  <si>
    <t>Packers @ Steelers</t>
  </si>
  <si>
    <t>Commanders @ Chiefs</t>
  </si>
  <si>
    <t>Bills @ Panthers</t>
  </si>
  <si>
    <t>Browns @ Patriots</t>
  </si>
  <si>
    <t>49ers @ Texans</t>
  </si>
  <si>
    <t>Giants @ Eagles</t>
  </si>
  <si>
    <t>Dolphins @ Falcons</t>
  </si>
  <si>
    <t>Cowboys @ Broncos</t>
  </si>
  <si>
    <t>0 TDs &amp; Colts Win</t>
  </si>
  <si>
    <t>35-25</t>
  </si>
  <si>
    <t>1 Touchdown</t>
  </si>
  <si>
    <t>23-3</t>
  </si>
  <si>
    <t>13-32</t>
  </si>
  <si>
    <t>15-26</t>
  </si>
  <si>
    <t>20-38</t>
  </si>
  <si>
    <t>34-10</t>
  </si>
  <si>
    <t>Week 14</t>
  </si>
  <si>
    <t>Total Over 39.5</t>
  </si>
  <si>
    <t>Seahawks +2.5</t>
  </si>
  <si>
    <t>Browns +6.5</t>
  </si>
  <si>
    <t>Bills -3.5</t>
  </si>
  <si>
    <t>A. Jones Any TD</t>
  </si>
  <si>
    <t>Panthers +10.5</t>
  </si>
  <si>
    <t>Tagovailoa 244+ Pass Yards</t>
  </si>
  <si>
    <t>Bengals -3.5</t>
  </si>
  <si>
    <t>Saints -4.5</t>
  </si>
  <si>
    <t>White Any TD &amp; Buccaneers Win</t>
  </si>
  <si>
    <t>J. Herbert 2+ Pass TDs &amp; Chargers Win</t>
  </si>
  <si>
    <t>Bills +3.5</t>
  </si>
  <si>
    <t>J. Myers Over 1.5 Field Goals</t>
  </si>
  <si>
    <t>Jaguars -2.5</t>
  </si>
  <si>
    <t>Christian Watson Over 36.5 Rec. Yards</t>
  </si>
  <si>
    <t>Patriots -4.5</t>
  </si>
  <si>
    <t>C. McCaffery 80+ Rush Yards</t>
  </si>
  <si>
    <t>Broncos +2.5</t>
  </si>
  <si>
    <t>Jaguars @ Titans</t>
  </si>
  <si>
    <t>Seahawks @ Cardinals</t>
  </si>
  <si>
    <t>Bills @ Rams</t>
  </si>
  <si>
    <t>Panthers @ Eagles</t>
  </si>
  <si>
    <t>Jets @ Dolphins</t>
  </si>
  <si>
    <t>Bengals @ Cowboys</t>
  </si>
  <si>
    <t>Saints @ Giants</t>
  </si>
  <si>
    <t>Raiders @ Buccaneers</t>
  </si>
  <si>
    <t>30-18</t>
  </si>
  <si>
    <t>14-27</t>
  </si>
  <si>
    <t>42-44</t>
  </si>
  <si>
    <t>16-22</t>
  </si>
  <si>
    <t>331 Pass Yards</t>
  </si>
  <si>
    <t>27-20</t>
  </si>
  <si>
    <t>14-11</t>
  </si>
  <si>
    <t>2 TDs &amp; Buccaneers Win</t>
  </si>
  <si>
    <t>Chargers @ Titans</t>
  </si>
  <si>
    <t>Seahawks @ Commanders</t>
  </si>
  <si>
    <t>Jaguars @ Raiders</t>
  </si>
  <si>
    <t>Panthers @ Packers</t>
  </si>
  <si>
    <t>Falcons @ Patriots</t>
  </si>
  <si>
    <t>49ers @ Giants</t>
  </si>
  <si>
    <t>Colts @ Steelers</t>
  </si>
  <si>
    <t>Broncos @ Texans</t>
  </si>
  <si>
    <t>Cardinals @ Cowboys</t>
  </si>
  <si>
    <t>21-28</t>
  </si>
  <si>
    <t>1 Field Goal</t>
  </si>
  <si>
    <t>30-29</t>
  </si>
  <si>
    <t>58 Rec. Yards</t>
  </si>
  <si>
    <t>23-24</t>
  </si>
  <si>
    <t>106 Rush Yards</t>
  </si>
  <si>
    <t>20-27</t>
  </si>
  <si>
    <t>18-15</t>
  </si>
  <si>
    <t>27-17</t>
  </si>
  <si>
    <t>Week 15</t>
  </si>
  <si>
    <t>Nix 2+ Pass TD's &amp; Broncos Win</t>
  </si>
  <si>
    <t>Bengals -5.5</t>
  </si>
  <si>
    <t>Brown Any TD</t>
  </si>
  <si>
    <t>Bears +7.5</t>
  </si>
  <si>
    <t>D. Henry 95+ Rush Yards</t>
  </si>
  <si>
    <t>Dolphins +3.5</t>
  </si>
  <si>
    <t>White Any TD</t>
  </si>
  <si>
    <t>Lions -6.5</t>
  </si>
  <si>
    <t>T. Johnson Over 10.5 Rec. Yards</t>
  </si>
  <si>
    <t>Over 49.5</t>
  </si>
  <si>
    <t>J. Waddle Any Touchdown</t>
  </si>
  <si>
    <t>Panthers -5.5</t>
  </si>
  <si>
    <t>Under 42.5</t>
  </si>
  <si>
    <t>Over 4.5 Total Touchdowns</t>
  </si>
  <si>
    <t>Eagles +4.5</t>
  </si>
  <si>
    <t>Lions @ Commanders</t>
  </si>
  <si>
    <t>Steelers @ Chargers</t>
  </si>
  <si>
    <t>Browns @ Jets</t>
  </si>
  <si>
    <t>Ravens @ Vikings</t>
  </si>
  <si>
    <t>Bills @ Dolphins</t>
  </si>
  <si>
    <t>Patriots @ Buccaneers</t>
  </si>
  <si>
    <t>Jaguars @ Texans</t>
  </si>
  <si>
    <t>Cardinals @ Seahawks</t>
  </si>
  <si>
    <t>Eagles @ Packers</t>
  </si>
  <si>
    <t>44-22</t>
  </si>
  <si>
    <t>0 Rec. Yards</t>
  </si>
  <si>
    <t>27-19</t>
  </si>
  <si>
    <t>17-7</t>
  </si>
  <si>
    <t>28-23</t>
  </si>
  <si>
    <t>36-29</t>
  </si>
  <si>
    <t>8 Touchdowns</t>
  </si>
  <si>
    <t>Colts @ Broncos</t>
  </si>
  <si>
    <t>Bengals @ Titans</t>
  </si>
  <si>
    <t>Commanders @ Saints</t>
  </si>
  <si>
    <t>Steelers @ Eagles</t>
  </si>
  <si>
    <t>Bears @ Vikings</t>
  </si>
  <si>
    <t>Ravens @ Giants</t>
  </si>
  <si>
    <t>Packers @ Seahawks</t>
  </si>
  <si>
    <t>Dolphins @ Texans</t>
  </si>
  <si>
    <t>Buccaneers @ Chargers</t>
  </si>
  <si>
    <t>3 Pass TD's &amp; Broncos Win</t>
  </si>
  <si>
    <t>37-27</t>
  </si>
  <si>
    <t>20-19</t>
  </si>
  <si>
    <t>30-14</t>
  </si>
  <si>
    <t>67 Rush Yards</t>
  </si>
  <si>
    <t>30-13</t>
  </si>
  <si>
    <t>Chiefs -5.5</t>
  </si>
  <si>
    <t>Vikings -2.5</t>
  </si>
  <si>
    <t>J. Love Over 256+ Pass Yards</t>
  </si>
  <si>
    <t>Under 40.5</t>
  </si>
  <si>
    <t>Over 41.5</t>
  </si>
  <si>
    <t>Ravens -6.5</t>
  </si>
  <si>
    <t>J. "My" Smith-Njigba ATD</t>
  </si>
  <si>
    <t>Week 16</t>
  </si>
  <si>
    <t>Barkley Any TD &amp; Eagles Win</t>
  </si>
  <si>
    <t>Patriots +14.5</t>
  </si>
  <si>
    <t>Doubs Any TD</t>
  </si>
  <si>
    <t>Murray Over 1.5 Pass TDs</t>
  </si>
  <si>
    <t>Buccaneers -3.5</t>
  </si>
  <si>
    <t>Chase Any TD</t>
  </si>
  <si>
    <t>Gibbs Any TD &amp; Lions Win</t>
  </si>
  <si>
    <t>49ers @ Cardinals</t>
  </si>
  <si>
    <t>Chiefs @ Broncos</t>
  </si>
  <si>
    <t>Lions @ Eagles</t>
  </si>
  <si>
    <t>Packers @ Giants</t>
  </si>
  <si>
    <t>Texans @ Titans</t>
  </si>
  <si>
    <t>Buccaneers @ Bills</t>
  </si>
  <si>
    <t>Ravens @ Browns</t>
  </si>
  <si>
    <t>Chargers @ Jaguars</t>
  </si>
  <si>
    <t>Seahawks @ Rams</t>
  </si>
  <si>
    <t>41-22</t>
  </si>
  <si>
    <t>19-22</t>
  </si>
  <si>
    <t>19-17</t>
  </si>
  <si>
    <t>174 Passing Yards</t>
  </si>
  <si>
    <t>16-13</t>
  </si>
  <si>
    <t>32-44</t>
  </si>
  <si>
    <t>23-16</t>
  </si>
  <si>
    <t>6-35</t>
  </si>
  <si>
    <t>0 Touchdowns</t>
  </si>
  <si>
    <t>Week 12</t>
  </si>
  <si>
    <t>A. St. Brown ATD &amp; Lions Win</t>
  </si>
  <si>
    <t>Vikings +7.5</t>
  </si>
  <si>
    <t>Buccaneers +10.5</t>
  </si>
  <si>
    <t>Saints Moneyline</t>
  </si>
  <si>
    <t>Seahawks -13.5</t>
  </si>
  <si>
    <t>J. Taylor 79+ Rush Yards</t>
  </si>
  <si>
    <t>D. Prescott 234+ Pass Yards</t>
  </si>
  <si>
    <t>Eagles @ Commanders</t>
  </si>
  <si>
    <t>Vikings @ Seahawks</t>
  </si>
  <si>
    <t>Patriots @ Bills</t>
  </si>
  <si>
    <t>Rams @ Jets</t>
  </si>
  <si>
    <t>Saints @ Packers</t>
  </si>
  <si>
    <t>49ers @ Dolphins</t>
  </si>
  <si>
    <t>Cardinals @ Panthers</t>
  </si>
  <si>
    <t>Bucaneers @ Cowboys</t>
  </si>
  <si>
    <t>Browns @ Bengals</t>
  </si>
  <si>
    <t>Lions @ Bears</t>
  </si>
  <si>
    <t>2 TD's &amp; Eagles Lose</t>
  </si>
  <si>
    <t>27-24</t>
  </si>
  <si>
    <t>19-9</t>
  </si>
  <si>
    <t>17-29</t>
  </si>
  <si>
    <t>24-26</t>
  </si>
  <si>
    <t>1 TD &amp; Lions Win</t>
  </si>
  <si>
    <t>Week 17</t>
  </si>
  <si>
    <t>Panthers +14.5</t>
  </si>
  <si>
    <t>Patriots +4.5</t>
  </si>
  <si>
    <t>Lions -3.5</t>
  </si>
  <si>
    <t>Jacobs 2+ TDs</t>
  </si>
  <si>
    <t>Commanders -8.5</t>
  </si>
  <si>
    <t>Hall 1+ TD's</t>
  </si>
  <si>
    <t>Hill 1+ TD's</t>
  </si>
  <si>
    <t>Giants @ Lions</t>
  </si>
  <si>
    <t>Vikings @ Packers</t>
  </si>
  <si>
    <t>Browns @ Raiders</t>
  </si>
  <si>
    <t>Buccaneers @ Rams</t>
  </si>
  <si>
    <t>Seahawks @ Titans</t>
  </si>
  <si>
    <t>Colts @ Chiefs</t>
  </si>
  <si>
    <t>Patriots @ Bengals</t>
  </si>
  <si>
    <t>Steelers @ Bears</t>
  </si>
  <si>
    <t>1 TD @ Lions Win</t>
  </si>
  <si>
    <t>24-10</t>
  </si>
  <si>
    <t>7-34</t>
  </si>
  <si>
    <t>30-24</t>
  </si>
  <si>
    <t>58 Rush Yards</t>
  </si>
  <si>
    <t>354 Pass Yards</t>
  </si>
  <si>
    <t>Chiefs -2.5</t>
  </si>
  <si>
    <t>Patriots -3.5</t>
  </si>
  <si>
    <t>Seahawks -9.5</t>
  </si>
  <si>
    <t>Browns +7.5</t>
  </si>
  <si>
    <t>Chargers -13.5</t>
  </si>
  <si>
    <t>T. Etienne Any TD &amp; Jaguars Win</t>
  </si>
  <si>
    <t>T. Taylor 183+ Pass Yards</t>
  </si>
  <si>
    <t>Over 5.5 Touchdowns</t>
  </si>
  <si>
    <t>Panthers @  Buccaneers</t>
  </si>
  <si>
    <t>Broncos @ Bengals</t>
  </si>
  <si>
    <t>Chargers @ Patriots</t>
  </si>
  <si>
    <t>Lions @ 49ers</t>
  </si>
  <si>
    <t>Saints @ Raiders</t>
  </si>
  <si>
    <t>Packers @ Vikings</t>
  </si>
  <si>
    <t>Falcons @ Commanders</t>
  </si>
  <si>
    <t>Cowboys @ Eagles</t>
  </si>
  <si>
    <t>Jets @ Bills</t>
  </si>
  <si>
    <t>14-48</t>
  </si>
  <si>
    <t>24-30</t>
  </si>
  <si>
    <t>40-7</t>
  </si>
  <si>
    <t>7-41</t>
  </si>
  <si>
    <t>0 TD's</t>
  </si>
  <si>
    <t>Broncos @ Commanders</t>
  </si>
  <si>
    <t>Chiefs @ Cowboys</t>
  </si>
  <si>
    <t>Giants @ Patriots</t>
  </si>
  <si>
    <t>Bears @ Eagles</t>
  </si>
  <si>
    <t>49ers @ Browns</t>
  </si>
  <si>
    <t>Raiders @ Chargers</t>
  </si>
  <si>
    <t>Falcons @ Jets</t>
  </si>
  <si>
    <t>Packers @ Lions</t>
  </si>
  <si>
    <t>27-26</t>
  </si>
  <si>
    <t>28-31</t>
  </si>
  <si>
    <t>15-33</t>
  </si>
  <si>
    <t>0-26</t>
  </si>
  <si>
    <t>5 Touchdowns</t>
  </si>
  <si>
    <t>26-8</t>
  </si>
  <si>
    <t>0 TDs &amp; Jags Win</t>
  </si>
  <si>
    <t>172 Passing Yards</t>
  </si>
  <si>
    <t>7 Touchdowns</t>
  </si>
  <si>
    <t>END 2024 - START 2025</t>
  </si>
  <si>
    <t>B. Irving Any TD &amp; Buccaneers Win</t>
  </si>
  <si>
    <t>D. Adams Any TD &amp; Rams Win</t>
  </si>
  <si>
    <t>B. Nix Over 1.5 TD Passes</t>
  </si>
  <si>
    <t>Bills First to 10 Points</t>
  </si>
  <si>
    <t>Under 44.5</t>
  </si>
  <si>
    <t>J. Myers Over 2.5 Extra Points</t>
  </si>
  <si>
    <t>Saints @ Buccaneers</t>
  </si>
  <si>
    <t>Colts @ Jaguars</t>
  </si>
  <si>
    <t>Rams @ Cardinals</t>
  </si>
  <si>
    <t>Broncos @ Raiders</t>
  </si>
  <si>
    <t>Bengals @ Bills</t>
  </si>
  <si>
    <t>Commanders @ Vikings</t>
  </si>
  <si>
    <t>Bears @ Packers</t>
  </si>
  <si>
    <t>Titans @ Browns</t>
  </si>
  <si>
    <t>Steelers @ Ravens</t>
  </si>
  <si>
    <t>B. Irving 1 TD &amp; Saints Win</t>
  </si>
  <si>
    <t>19-36</t>
  </si>
  <si>
    <t>D. Adams 0 TDs &amp; Rams Win</t>
  </si>
  <si>
    <t>B. Nix 0 TD Passes</t>
  </si>
  <si>
    <t>Bengals First to 10 Points</t>
  </si>
  <si>
    <t>0-31</t>
  </si>
  <si>
    <t>J. Myers 4 Extra Points</t>
  </si>
  <si>
    <t>C.J. Stroud 2+ Pass TDs &amp; Texans Win</t>
  </si>
  <si>
    <t>Broncos -3.5</t>
  </si>
  <si>
    <t>Buccaneers Moneyline</t>
  </si>
  <si>
    <t>Bengals -2.5</t>
  </si>
  <si>
    <t>Saints -6.5</t>
  </si>
  <si>
    <t>Falcons -2.5</t>
  </si>
  <si>
    <t>Titans +3.5</t>
  </si>
  <si>
    <t>Patriots +3.5</t>
  </si>
  <si>
    <t>Raiders @ Texans</t>
  </si>
  <si>
    <t>Jaguars @ Broncos</t>
  </si>
  <si>
    <t>Bengals @ Dolphins</t>
  </si>
  <si>
    <t>Jets @ Saints</t>
  </si>
  <si>
    <t>Steelers @ Lions</t>
  </si>
  <si>
    <t>Vikings @ Giants</t>
  </si>
  <si>
    <t>Falcons @ Cardinals</t>
  </si>
  <si>
    <t>Chiefs @ Titans</t>
  </si>
  <si>
    <t>Patriots @ Ravens</t>
  </si>
  <si>
    <t>C.J. Stroud 1 Pass TD &amp; Texans Win</t>
  </si>
  <si>
    <t>34-20</t>
  </si>
  <si>
    <t>45-21</t>
  </si>
  <si>
    <t>29-24</t>
  </si>
  <si>
    <t>26-19</t>
  </si>
  <si>
    <t>28-24</t>
  </si>
  <si>
    <t>End 2025 - Start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</si>
</sst>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m-d"/>
  </numFmts>
  <fonts count="7">
    <font>
      <sz val="10.0"/>
      <color rgb="FF000000"/>
      <name val="Arial"/>
      <scheme val="minor"/>
    </font>
    <font>
      <b/>
      <sz val="11.0"/>
      <color theme="1"/>
      <name val="Arial"/>
    </font>
    <font>
      <sz val="11.0"/>
      <color theme="1"/>
      <name val="Arial"/>
    </font>
    <font>
      <sz val="11.0"/>
      <color rgb="FF000000"/>
      <name val="Arial"/>
    </font>
    <font>
      <color theme="1"/>
      <name val="Arial"/>
      <scheme val="minor"/>
    </font>
    <font>
      <b/>
      <sz val="33.0"/>
      <color theme="1"/>
      <name val="Arial"/>
    </font>
    <font>
      <b/>
      <sz val="37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theme="6"/>
        <bgColor theme="6"/>
      </patternFill>
    </fill>
    <fill>
      <patternFill patternType="solid">
        <fgColor rgb="FFFBBC04"/>
        <bgColor rgb="FFFBBC04"/>
      </patternFill>
    </fill>
    <fill>
      <patternFill patternType="solid">
        <fgColor rgb="FFFF9900"/>
        <bgColor rgb="FFFF9900"/>
      </patternFill>
    </fill>
    <fill>
      <patternFill patternType="solid">
        <fgColor theme="8"/>
        <bgColor theme="8"/>
      </patternFill>
    </fill>
    <fill>
      <patternFill patternType="solid">
        <fgColor rgb="FF00FFFF"/>
        <bgColor rgb="FF00FFFF"/>
      </patternFill>
    </fill>
  </fills>
  <borders count="1">
    <border/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bottom"/>
    </xf>
    <xf borderId="0" fillId="3" fontId="2" numFmtId="0" xfId="0" applyAlignment="1" applyFill="1" applyFont="1">
      <alignment horizontal="center" vertical="bottom"/>
    </xf>
    <xf borderId="0" fillId="2" fontId="1" numFmtId="0" xfId="0" applyAlignment="1" applyFill="1" applyFont="1">
      <alignment horizontal="center" vertical="bottom"/>
    </xf>
    <xf borderId="0" fillId="2" fontId="2" numFmtId="0" xfId="0" applyAlignment="1" applyFill="1" applyFont="1">
      <alignment horizontal="center" vertical="bottom"/>
    </xf>
    <xf borderId="0" fillId="2" fontId="2" numFmtId="0" xfId="0" applyAlignment="1" applyFill="1" applyFont="1">
      <alignment horizontal="center" readingOrder="0" vertical="bottom"/>
    </xf>
    <xf borderId="0" fillId="4" fontId="2" numFmtId="0" xfId="0" applyAlignment="1" applyFill="1" applyFont="1">
      <alignment horizontal="center" vertical="bottom"/>
    </xf>
    <xf borderId="0" fillId="2" fontId="2" numFmtId="1" xfId="0" applyAlignment="1" applyFill="1" applyFont="1" applyNumberFormat="1">
      <alignment horizontal="center" vertical="bottom"/>
    </xf>
    <xf borderId="0" fillId="5" fontId="2" numFmtId="0" xfId="0" applyAlignment="1" applyFill="1" applyFont="1">
      <alignment horizontal="center" vertical="bottom"/>
    </xf>
    <xf borderId="0" fillId="2" fontId="2" numFmtId="0" xfId="0" applyAlignment="1" applyFill="1" applyFont="1">
      <alignment horizontal="center" vertical="bottom"/>
    </xf>
    <xf borderId="0" fillId="2" fontId="2" numFmtId="164" xfId="0" applyAlignment="1" applyFill="1" applyFont="1" applyNumberFormat="1">
      <alignment horizontal="center" vertical="bottom"/>
    </xf>
    <xf borderId="0" fillId="2" fontId="2" numFmtId="165" xfId="0" applyAlignment="1" applyFill="1" applyFont="1" applyNumberFormat="1">
      <alignment horizontal="center" readingOrder="0" vertical="bottom"/>
    </xf>
    <xf borderId="0" fillId="0" fontId="2" numFmtId="0" xfId="0" applyAlignment="1" applyFont="1">
      <alignment horizontal="center" vertical="bottom"/>
    </xf>
    <xf borderId="0" fillId="2" fontId="2" numFmtId="9" xfId="0" applyAlignment="1" applyFill="1" applyFont="1" applyNumberFormat="1">
      <alignment horizontal="center" vertical="bottom"/>
    </xf>
    <xf borderId="0" fillId="3" fontId="2" numFmtId="9" xfId="0" applyAlignment="1" applyFill="1" applyFont="1" applyNumberFormat="1">
      <alignment horizontal="center" vertical="bottom"/>
    </xf>
    <xf borderId="0" fillId="2" fontId="2" numFmtId="3" xfId="0" applyAlignment="1" applyFill="1" applyFont="1" applyNumberFormat="1">
      <alignment horizontal="center" readingOrder="0" vertical="bottom"/>
    </xf>
    <xf borderId="0" fillId="2" fontId="1" numFmtId="0" xfId="0" applyAlignment="1" applyFill="1" applyFont="1">
      <alignment horizontal="center" shrinkToFit="0" vertical="bottom" wrapText="1"/>
    </xf>
    <xf borderId="0" fillId="2" fontId="3" numFmtId="0" xfId="0" applyAlignment="1" applyFill="1" applyFont="1">
      <alignment horizontal="center" readingOrder="0"/>
    </xf>
    <xf borderId="0" fillId="0" fontId="2" numFmtId="0" xfId="0" applyAlignment="1" applyFont="1">
      <alignment horizontal="center" readingOrder="0" vertical="bottom"/>
    </xf>
    <xf borderId="0" fillId="6" fontId="2" numFmtId="0" xfId="0" applyAlignment="1" applyFill="1" applyFont="1">
      <alignment horizontal="center" readingOrder="0" vertical="bottom"/>
    </xf>
    <xf borderId="0" fillId="6" fontId="2" numFmtId="0" xfId="0" applyAlignment="1" applyFill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2" fontId="3" numFmtId="0" xfId="0" applyAlignment="1" applyFill="1" applyFont="1">
      <alignment horizontal="center"/>
    </xf>
    <xf borderId="0" fillId="2" fontId="2" numFmtId="1" xfId="0" applyAlignment="1" applyFill="1" applyFont="1" applyNumberFormat="1">
      <alignment horizontal="center" readingOrder="0" vertical="bottom"/>
    </xf>
    <xf borderId="0" fillId="2" fontId="3" numFmtId="9" xfId="0" applyAlignment="1" applyFill="1" applyFont="1" applyNumberFormat="1">
      <alignment horizontal="center"/>
    </xf>
    <xf borderId="0" fillId="2" fontId="3" numFmtId="1" xfId="0" applyAlignment="1" applyFill="1" applyFont="1" applyNumberFormat="1">
      <alignment horizontal="center"/>
    </xf>
    <xf borderId="0" fillId="2" fontId="2" numFmtId="164" xfId="0" applyAlignment="1" applyFill="1" applyFont="1" applyNumberFormat="1">
      <alignment horizontal="center" vertical="bottom"/>
    </xf>
    <xf borderId="0" fillId="2" fontId="3" numFmtId="3" xfId="0" applyAlignment="1" applyFill="1" applyFont="1" applyNumberFormat="1">
      <alignment horizontal="center"/>
    </xf>
    <xf borderId="0" fillId="3" fontId="2" numFmtId="0" xfId="0" applyAlignment="1" applyFill="1" applyFont="1">
      <alignment horizontal="center" readingOrder="0" vertical="bottom"/>
    </xf>
    <xf borderId="0" fillId="7" fontId="2" numFmtId="0" xfId="0" applyAlignment="1" applyFill="1" applyFont="1">
      <alignment horizontal="center" readingOrder="0" vertical="bottom"/>
    </xf>
    <xf borderId="0" fillId="3" fontId="4" numFmtId="0" xfId="0" applyFill="1" applyFont="1"/>
    <xf borderId="0" fillId="8" fontId="5" numFmtId="0" xfId="0" applyAlignment="1" applyFill="1" applyFont="1">
      <alignment horizontal="center" readingOrder="0" vertical="bottom"/>
    </xf>
    <xf borderId="0" fillId="0" fontId="2" numFmtId="165" xfId="0" applyAlignment="1" applyFont="1" applyNumberFormat="1">
      <alignment horizontal="center" readingOrder="0" vertical="bottom"/>
    </xf>
    <xf borderId="0" fillId="2" fontId="4" numFmtId="0" xfId="0" applyFill="1" applyFont="1"/>
    <xf borderId="0" fillId="8" fontId="6" numFmtId="0" xfId="0" applyAlignment="1" applyFill="1" applyFont="1">
      <alignment horizontal="center" readingOrder="0" vertical="center"/>
    </xf>
  </cellXfs>
  <cellStyles count="1">
    <cellStyle xfId="0" name="Normal" builtinId="0"/>
  </cellStyles>
  <dxfs count="2"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  <col customWidth="1" min="2" max="2" width="5.13"/>
    <col customWidth="1" min="3" max="3" width="33.5"/>
    <col customWidth="1" min="4" max="4" width="18.13"/>
    <col customWidth="1" min="5" max="5" width="27.88"/>
    <col customWidth="1" min="6" max="6" width="22.88"/>
    <col customWidth="1" min="7" max="7" width="32.88"/>
    <col customWidth="1" min="8" max="8" width="20.88"/>
    <col customWidth="1" min="9" max="9" width="27.13"/>
    <col customWidth="1" min="10" max="10" width="28.25"/>
    <col customWidth="1" min="11" max="11" width="32.5"/>
    <col customWidth="1" min="12" max="12" width="25.88"/>
    <col customWidth="1" min="13" max="13" width="3.0"/>
    <col customWidth="1" min="14" max="14" width="17.75"/>
    <col customWidth="1" min="15" max="15" width="13.5"/>
    <col customWidth="1" min="16" max="16" width="21.25"/>
    <col customWidth="1" min="17" max="17" width="17.25"/>
  </cols>
  <sheetData>
    <row r="1">
      <c r="A1" s="1" t="s">
        <v>0</v>
      </c>
      <c r="B1" s="2"/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2"/>
      <c r="N1" s="4"/>
      <c r="O1" s="3" t="s">
        <v>11</v>
      </c>
      <c r="P1" s="4"/>
      <c r="Q1" s="4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>
      <c r="A3" s="3" t="s">
        <v>12</v>
      </c>
      <c r="B3" s="2"/>
      <c r="C3" s="5"/>
      <c r="D3" s="5"/>
      <c r="E3" s="5"/>
      <c r="F3" s="5"/>
      <c r="G3" s="5"/>
      <c r="H3" s="5"/>
      <c r="I3" s="5"/>
      <c r="J3" s="5"/>
      <c r="K3" s="5"/>
      <c r="L3" s="5"/>
      <c r="M3" s="2"/>
      <c r="N3" s="3" t="s">
        <v>13</v>
      </c>
      <c r="O3" s="7" t="str">
        <f>IF(AND(C4="",AND(D4="",AND(E4="",AND(F4="",AND(G4="",AND(H4="",AND(I4="",AND(J4="",AND(K4="",L4=""))))))))),"",IF(((IF(C4="",1,IF(C4&gt;0,(C4/100)+1,(100/((-1)*C4))+1)))*(IF(D4="",1,IF(D4&gt;0,(D4/100)+1,(100/((-1)*D4))+1)))*(IF(E4="",1,IF(E4&gt;0,(E4/100)+1,(100/((-1)*E4))+1)))*(IF(F4="",1,IF(F4&gt;0,(F4/100)+1,(100/((-1)*F4))+1)))*(IF(G4="",1,IF(G4&gt;0,(G4/100)+1,(100/((-1)*G4))+1)))*(IF(H4="",1,IF(H4&gt;0,(H4/100)+1,(100/((-1)*H4))+1)))*(IF(I4="",1,IF(I4&gt;0,(I4/100)+1,(100/((-1)*I4))+1)))*(IF(J4="",1,IF(J4&gt;0,(J4/100)+1,(100/((-1)*J4))+1)))*(IF(K4="",1,IF(K4&gt;0,(K4/100)+1,(100/((-1)*K4))+1)))*(IF(L4="",1,IF(L4&gt;0,(L4/100)+1,(100/((-1)*L4))+1))))&lt;2,((-100)/(((IF(C4="",1,IF(C4&gt;0,(C4/100)+1,(100/((-1)*C4))+1)))*(IF(D4="",1,IF(D4&gt;0,(D4/100)+1,(100/((-1)*D4))+1)))*(IF(E4="",1,IF(E4&gt;0,(E4/100)+1,(100/((-1)*E4))+1)))*(IF(F4="",1,IF(F4&gt;0,(F4/100)+1,(100/((-1)*F4))+1)))*(IF(G4="",1,IF(G4&gt;0,(G4/100)+1,(100/((-1)*G4))+1)))*(IF(H4="",1,IF(H4&gt;0,(H4/100)+1,(100/((-1)*H4))+1)))*(IF(I4="",1,IF(I4&gt;0,(I4/100)+1,(100/((-1)*I4))+1)))*(IF(J4="",1,IF(J4&gt;0,(J4/100)+1,(100/((-1)*J4))+1)))*(IF(K4="",1,IF(K4&gt;0,(K4/100)+1,(100/((-1)*K4))+1)))*(IF(L4="",1,IF(L4&gt;0,(L4/100)+1,(100/((-1)*L4))+1))))-1)),((((IF(C4="",1,IF(C4&gt;0,(C4/100)+1,(100/((-1)*C4))+1)))*(IF(D4="",1,IF(D4&gt;0,(D4/100)+1,(100/((-1)*D4))+1)))*(IF(E4="",1,IF(E4&gt;0,(E4/100)+1,(100/((-1)*E4))+1)))*(IF(F4="",1,IF(F4&gt;0,(F4/100)+1,(100/((-1)*F4))+1)))*(IF(G4="",1,IF(G4&gt;0,(G4/100)+1,(100/((-1)*G4))+1)))*(IF(H4="",1,IF(H4&gt;0,(H4/100)+1,(100/((-1)*H4))+1)))*(IF(I4="",1,IF(I4&gt;0,(I4/100)+1,(100/((-1)*I4))+1)))*(IF(J4="",1,IF(J4&gt;0,(J4/100)+1,(100/((-1)*J4))+1)))*(IF(K4="",1,IF(K4&gt;0,(K4/100)+1,(100/((-1)*K4))+1)))*(IF(L4="",1,IF(L4&gt;0,(L4/100)+1,(100/((-1)*L4))+1))))-1)*(100))))</f>
        <v/>
      </c>
      <c r="P3" s="4"/>
      <c r="Q3" s="8" t="s">
        <v>35</v>
      </c>
    </row>
    <row r="4">
      <c r="A4" s="3" t="s">
        <v>13</v>
      </c>
      <c r="B4" s="2"/>
      <c r="C4" s="5"/>
      <c r="D4" s="5"/>
      <c r="E4" s="5"/>
      <c r="F4" s="5"/>
      <c r="G4" s="5"/>
      <c r="H4" s="5"/>
      <c r="I4" s="5"/>
      <c r="J4" s="5"/>
      <c r="K4" s="5"/>
      <c r="L4" s="5"/>
      <c r="M4" s="2"/>
      <c r="N4" s="3" t="s">
        <v>36</v>
      </c>
      <c r="O4" s="10" t="str">
        <f>IF(AND(C4="",AND(D4="",AND(E4="",AND(F4="",AND(G4="",AND(H4="",AND(I4="",AND(J4="",AND(K4="",L4=""))))))))),"",10+IF((IF(((IF(C4="",1,IF(C4&gt;0,(C4/100)+1,(100/((-1)*C4))+1)))*(IF(D4="",1,IF(D4&gt;0,(D4/100)+1,(100/((-1)*D4))+1)))*(IF(E4="",1,IF(E4&gt;0,(E4/100)+1,(100/((-1)*E4))+1)))*(IF(F4="",1,IF(F4&gt;0,(F4/100)+1,(100/((-1)*F4))+1)))*(IF(G4="",1,IF(G4&gt;0,(G4/100)+1,(100/((-1)*G4))+1)))*(IF(H4="",1,IF(H4&gt;0,(H4/100)+1,(100/((-1)*H4))+1)))*(IF(I4="",1,IF(I4&gt;0,(I4/100)+1,(100/((-1)*I4))+1)))*(IF(J4="",1,IF(J4&gt;0,(J4/100)+1,(100/((-1)*J4))+1)))*(IF(K4="",1,IF(K4&gt;0,(K4/100)+1,(100/((-1)*K4))+1)))*(IF(L4="",1,IF(L4&gt;0,(L4/100)+1,(100/((-1)*L4))+1))))&lt;2,((-100)/(((IF(C4="",1,IF(C4&gt;0,(C4/100)+1,(100/((-1)*C4))+1)))*(IF(D4="",1,IF(D4&gt;0,(D4/100)+1,(100/((-1)*D4))+1)))*(IF(E4="",1,IF(E4&gt;0,(E4/100)+1,(100/((-1)*E4))+1)))*(IF(F4="",1,IF(F4&gt;0,(F4/100)+1,(100/((-1)*F4))+1)))*(IF(G4="",1,IF(G4&gt;0,(G4/100)+1,(100/((-1)*G4))+1)))*(IF(H4="",1,IF(H4&gt;0,(H4/100)+1,(100/((-1)*H4))+1)))*(IF(I4="",1,IF(I4&gt;0,(I4/100)+1,(100/((-1)*I4))+1)))*(IF(J4="",1,IF(J4&gt;0,(J4/100)+1,(100/((-1)*J4))+1)))*(IF(K4="",1,IF(K4&gt;0,(K4/100)+1,(100/((-1)*K4))+1)))*(IF(L4="",1,IF(L4&gt;0,(L4/100)+1,(100/((-1)*L4))+1))))-1)),((((IF(C4="",1,IF(C4&gt;0,(C4/100)+1,(100/((-1)*C4))+1)))*(IF(D4="",1,IF(D4&gt;0,(D4/100)+1,(100/((-1)*D4))+1)))*(IF(E4="",1,IF(E4&gt;0,(E4/100)+1,(100/((-1)*E4))+1)))*(IF(F4="",1,IF(F4&gt;0,(F4/100)+1,(100/((-1)*F4))+1)))*(IF(G4="",1,IF(G4&gt;0,(G4/100)+1,(100/((-1)*G4))+1)))*(IF(H4="",1,IF(H4&gt;0,(H4/100)+1,(100/((-1)*H4))+1)))*(IF(I4="",1,IF(I4&gt;0,(I4/100)+1,(100/((-1)*I4))+1)))*(IF(J4="",1,IF(J4&gt;0,(J4/100)+1,(100/((-1)*J4))+1)))*(IF(K4="",1,IF(K4&gt;0,(K4/100)+1,(100/((-1)*K4))+1)))*(IF(L4="",1,IF(L4&gt;0,(L4/100)+1,(100/((-1)*L4))+1))))-1)*(100))))&lt;0,(((-100)/((IF(((IF(C4="",1,IF(C4&gt;0,(C4/100)+1,(100/((-1)*C4))+1)))*(IF(D4="",1,IF(D4&gt;0,(D4/100)+1,(100/((-1)*D4))+1)))*(IF(E4="",1,IF(E4&gt;0,(E4/100)+1,(100/((-1)*E4))+1)))*(IF(F4="",1,IF(F4&gt;0,(F4/100)+1,(100/((-1)*F4))+1)))*(IF(G4="",1,IF(G4&gt;0,(G4/100)+1,(100/((-1)*G4))+1)))*(IF(H4="",1,IF(H4&gt;0,(H4/100)+1,(100/((-1)*H4))+1)))*(IF(I4="",1,IF(I4&gt;0,(I4/100)+1,(100/((-1)*I4))+1)))*(IF(J4="",1,IF(J4&gt;0,(J4/100)+1,(100/((-1)*J4))+1)))*(IF(K4="",1,IF(K4&gt;0,(K4/100)+1,(100/((-1)*K4))+1)))*(IF(L4="",1,IF(L4&gt;0,(L4/100)+1,(100/((-1)*L4))+1))))&lt;2,((-100)/(((IF(C4="",1,IF(C4&gt;0,(C4/100)+1,(100/((-1)*C4))+1)))*(IF(D4="",1,IF(D4&gt;0,(D4/100)+1,(100/((-1)*D4))+1)))*(IF(E4="",1,IF(E4&gt;0,(E4/100)+1,(100/((-1)*E4))+1)))*(IF(F4="",1,IF(F4&gt;0,(F4/100)+1,(100/((-1)*F4))+1)))*(IF(G4="",1,IF(G4&gt;0,(G4/100)+1,(100/((-1)*G4))+1)))*(IF(H4="",1,IF(H4&gt;0,(H4/100)+1,(100/((-1)*H4))+1)))*(IF(I4="",1,IF(I4&gt;0,(I4/100)+1,(100/((-1)*I4))+1)))*(IF(J4="",1,IF(J4&gt;0,(J4/100)+1,(100/((-1)*J4))+1)))*(IF(K4="",1,IF(K4&gt;0,(K4/100)+1,(100/((-1)*K4))+1)))*(IF(L4="",1,IF(L4&gt;0,(L4/100)+1,(100/((-1)*L4))+1))))-1)),((((IF(C4="",1,IF(C4&gt;0,(C4/100)+1,(100/((-1)*C4))+1)))*(IF(D4="",1,IF(D4&gt;0,(D4/100)+1,(100/((-1)*D4))+1)))*(IF(E4="",1,IF(E4&gt;0,(E4/100)+1,(100/((-1)*E4))+1)))*(IF(F4="",1,IF(F4&gt;0,(F4/100)+1,(100/((-1)*F4))+1)))*(IF(G4="",1,IF(G4&gt;0,(G4/100)+1,(100/((-1)*G4))+1)))*(IF(H4="",1,IF(H4&gt;0,(H4/100)+1,(100/((-1)*H4))+1)))*(IF(I4="",1,IF(I4&gt;0,(I4/100)+1,(100/((-1)*I4))+1)))*(IF(J4="",1,IF(J4&gt;0,(J4/100)+1,(100/((-1)*J4))+1)))*(IF(K4="",1,IF(K4&gt;0,(K4/100)+1,(100/((-1)*K4))+1)))*(IF(L4="",1,IF(L4&gt;0,(L4/100)+1,(100/((-1)*L4))+1))))-1)*(100))))))*10),(((IF(((IF(C4="",1,IF(C4&gt;0,(C4/100)+1,(100/((-1)*C4))+1)))*(IF(D4="",1,IF(D4&gt;0,(D4/100)+1,(100/((-1)*D4))+1)))*(IF(E4="",1,IF(E4&gt;0,(E4/100)+1,(100/((-1)*E4))+1)))*(IF(F4="",1,IF(F4&gt;0,(F4/100)+1,(100/((-1)*F4))+1)))*(IF(G4="",1,IF(G4&gt;0,(G4/100)+1,(100/((-1)*G4))+1)))*(IF(H4="",1,IF(H4&gt;0,(H4/100)+1,(100/((-1)*H4))+1)))*(IF(I4="",1,IF(I4&gt;0,(I4/100)+1,(100/((-1)*I4))+1)))*(IF(J4="",1,IF(J4&gt;0,(J4/100)+1,(100/((-1)*J4))+1)))*(IF(K4="",1,IF(K4&gt;0,(K4/100)+1,(100/((-1)*K4))+1)))*(IF(L4="",1,IF(L4&gt;0,(L4/100)+1,(100/((-1)*L4))+1))))&lt;2,((-100)/(((IF(C4="",1,IF(C4&gt;0,(C4/100)+1,(100/((-1)*C4))+1)))*(IF(D4="",1,IF(D4&gt;0,(D4/100)+1,(100/((-1)*D4))+1)))*(IF(E4="",1,IF(E4&gt;0,(E4/100)+1,(100/((-1)*E4))+1)))*(IF(F4="",1,IF(F4&gt;0,(F4/100)+1,(100/((-1)*F4))+1)))*(IF(G4="",1,IF(G4&gt;0,(G4/100)+1,(100/((-1)*G4))+1)))*(IF(H4="",1,IF(H4&gt;0,(H4/100)+1,(100/((-1)*H4))+1)))*(IF(I4="",1,IF(I4&gt;0,(I4/100)+1,(100/((-1)*I4))+1)))*(IF(J4="",1,IF(J4&gt;0,(J4/100)+1,(100/((-1)*J4))+1)))*(IF(K4="",1,IF(K4&gt;0,(K4/100)+1,(100/((-1)*K4))+1)))*(IF(L4="",1,IF(L4&gt;0,(L4/100)+1,(100/((-1)*L4))+1))))-1)),((((IF(C4="",1,IF(C4&gt;0,(C4/100)+1,(100/((-1)*C4))+1)))*(IF(D4="",1,IF(D4&gt;0,(D4/100)+1,(100/((-1)*D4))+1)))*(IF(E4="",1,IF(E4&gt;0,(E4/100)+1,(100/((-1)*E4))+1)))*(IF(F4="",1,IF(F4&gt;0,(F4/100)+1,(100/((-1)*F4))+1)))*(IF(G4="",1,IF(G4&gt;0,(G4/100)+1,(100/((-1)*G4))+1)))*(IF(H4="",1,IF(H4&gt;0,(H4/100)+1,(100/((-1)*H4))+1)))*(IF(I4="",1,IF(I4&gt;0,(I4/100)+1,(100/((-1)*I4))+1)))*(IF(J4="",1,IF(J4&gt;0,(J4/100)+1,(100/((-1)*J4))+1)))*(IF(K4="",1,IF(K4&gt;0,(K4/100)+1,(100/((-1)*K4))+1)))*(IF(L4="",1,IF(L4&gt;0,(L4/100)+1,(100/((-1)*L4))+1))))-1)*(100))))/100)*10)))</f>
        <v/>
      </c>
      <c r="P4" s="4"/>
      <c r="Q4" s="4"/>
    </row>
    <row r="5">
      <c r="A5" s="3" t="s">
        <v>37</v>
      </c>
      <c r="B5" s="2"/>
      <c r="C5" s="5"/>
      <c r="D5" s="5"/>
      <c r="E5" s="5"/>
      <c r="F5" s="5"/>
      <c r="G5" s="5"/>
      <c r="H5" s="5"/>
      <c r="I5" s="5"/>
      <c r="J5" s="5"/>
      <c r="K5" s="5"/>
      <c r="L5" s="5"/>
      <c r="M5" s="2"/>
      <c r="N5" s="4"/>
      <c r="O5" s="4"/>
      <c r="P5" s="4"/>
      <c r="Q5" s="4"/>
    </row>
    <row r="6">
      <c r="A6" s="3" t="s">
        <v>48</v>
      </c>
      <c r="B6" s="2"/>
      <c r="C6" s="11"/>
      <c r="D6" s="5"/>
      <c r="E6" s="11"/>
      <c r="F6" s="5"/>
      <c r="G6" s="5"/>
      <c r="H6" s="11"/>
      <c r="I6" s="5"/>
      <c r="J6" s="11"/>
      <c r="K6" s="5"/>
      <c r="L6" s="5"/>
      <c r="M6" s="2"/>
      <c r="N6" s="4"/>
      <c r="O6" s="3" t="s">
        <v>56</v>
      </c>
      <c r="P6" s="3" t="s">
        <v>57</v>
      </c>
      <c r="Q6" s="4"/>
    </row>
    <row r="7">
      <c r="A7" s="3" t="s">
        <v>59</v>
      </c>
      <c r="B7" s="2"/>
      <c r="C7" s="5"/>
      <c r="D7" s="5"/>
      <c r="E7" s="5"/>
      <c r="F7" s="5"/>
      <c r="G7" s="5"/>
      <c r="H7" s="5"/>
      <c r="I7" s="5"/>
      <c r="J7" s="5"/>
      <c r="K7" s="5"/>
      <c r="L7" s="5"/>
      <c r="M7" s="2"/>
      <c r="N7" s="3" t="s">
        <v>65</v>
      </c>
      <c r="O7" s="12" t="str">
        <f>IFERROR(__xludf.DUMMYFUNCTION("IF(OR(COUNTA(C4:L4) = 0, COUNTA(C7:L7) = 0), """", IFERROR(TEXTJOIN("", "", TRUE, FILTER(C1:L1, (C7:L7 = ""W"") * (C4:L4 = MAX(FILTER(C4:L4, C7:L7 = ""W""))))), """"))"),"")</f>
        <v/>
      </c>
      <c r="P7" s="12" t="str">
        <f>IFERROR(__xludf.DUMMYFUNCTION("IF(COUNTA(C12:L12) = 0, """", IFERROR(TEXTJOIN("", "", TRUE, FILTER(C1:L1, C12:L12 = MAX(C12:L12))), """"))"),"")</f>
        <v/>
      </c>
      <c r="Q7" s="4"/>
    </row>
    <row r="8">
      <c r="A8" s="1" t="s">
        <v>81</v>
      </c>
      <c r="B8" s="2"/>
      <c r="C8" s="5" t="str">
        <f t="shared" ref="C8:L8" si="1">IF(C7="","",COUNTIF(C7,"W"))</f>
        <v/>
      </c>
      <c r="D8" s="5" t="str">
        <f t="shared" si="1"/>
        <v/>
      </c>
      <c r="E8" s="5" t="str">
        <f t="shared" si="1"/>
        <v/>
      </c>
      <c r="F8" s="5" t="str">
        <f t="shared" si="1"/>
        <v/>
      </c>
      <c r="G8" s="5" t="str">
        <f t="shared" si="1"/>
        <v/>
      </c>
      <c r="H8" s="5" t="str">
        <f t="shared" si="1"/>
        <v/>
      </c>
      <c r="I8" s="5" t="str">
        <f t="shared" si="1"/>
        <v/>
      </c>
      <c r="J8" s="5" t="str">
        <f t="shared" si="1"/>
        <v/>
      </c>
      <c r="K8" s="5" t="str">
        <f t="shared" si="1"/>
        <v/>
      </c>
      <c r="L8" s="5" t="str">
        <f t="shared" si="1"/>
        <v/>
      </c>
      <c r="M8" s="2"/>
      <c r="N8" s="3" t="s">
        <v>82</v>
      </c>
      <c r="O8" s="4" t="str">
        <f>IFERROR(__xludf.DUMMYFUNCTION("IF(OR(COUNTA(C4:L4) = 0, COUNTA(C7:L7) = 0), """", IFERROR(TEXTJOIN("", "", TRUE, FILTER(C1:L1, (C7:L7 = ""L"") * (C4:L4 = MIN(FILTER(C4:L4, C7:L7 = ""L""))))), """"))"),"")</f>
        <v/>
      </c>
      <c r="P8" s="12" t="str">
        <f>IFERROR(__xludf.DUMMYFUNCTION("IF(COUNTA(C12:L12) = 0, """", IFERROR(TEXTJOIN("", "", TRUE, FILTER(C1:L1, C12:L12 = MIN(C12:L12))), """"))"),"")</f>
        <v/>
      </c>
      <c r="Q8" s="4"/>
    </row>
    <row r="9">
      <c r="A9" s="1" t="s">
        <v>83</v>
      </c>
      <c r="B9" s="2"/>
      <c r="C9" s="4" t="str">
        <f t="shared" ref="C9:L9" si="2">IF(C7="","",COUNTIF(C7,"L"))</f>
        <v/>
      </c>
      <c r="D9" s="4" t="str">
        <f t="shared" si="2"/>
        <v/>
      </c>
      <c r="E9" s="4" t="str">
        <f t="shared" si="2"/>
        <v/>
      </c>
      <c r="F9" s="4" t="str">
        <f t="shared" si="2"/>
        <v/>
      </c>
      <c r="G9" s="4" t="str">
        <f t="shared" si="2"/>
        <v/>
      </c>
      <c r="H9" s="4" t="str">
        <f t="shared" si="2"/>
        <v/>
      </c>
      <c r="I9" s="4" t="str">
        <f t="shared" si="2"/>
        <v/>
      </c>
      <c r="J9" s="4" t="str">
        <f t="shared" si="2"/>
        <v/>
      </c>
      <c r="K9" s="4" t="str">
        <f t="shared" si="2"/>
        <v/>
      </c>
      <c r="L9" s="4" t="str">
        <f t="shared" si="2"/>
        <v/>
      </c>
      <c r="M9" s="2"/>
      <c r="N9" s="3" t="s">
        <v>84</v>
      </c>
      <c r="O9" s="12" t="str">
        <f>IFERROR(__xludf.DUMMYFUNCTION("IF(COUNTA(C4:L4) = 0, """", IFERROR(TEXTJOIN("", "", TRUE, FILTER(C1:L1, C4:L4 = MAX(C4:L4))), """"))"),"")</f>
        <v/>
      </c>
      <c r="P9" s="4" t="str">
        <f>IFERROR(__xludf.DUMMYFUNCTION("IF(COUNTA(C4:L4) = 0, """", IFERROR(TEXTJOIN("", "", TRUE, FILTER(C1:L1, C11:L11 = MAX(C11:L11))), """"))"),"")</f>
        <v/>
      </c>
      <c r="Q9" s="4"/>
    </row>
    <row r="10">
      <c r="A10" s="3" t="s">
        <v>85</v>
      </c>
      <c r="B10" s="2"/>
      <c r="C10" s="13" t="str">
        <f t="shared" ref="C10:L10" si="3">IF(C7="","",(C8/(C8+C9)))</f>
        <v/>
      </c>
      <c r="D10" s="13" t="str">
        <f t="shared" si="3"/>
        <v/>
      </c>
      <c r="E10" s="13" t="str">
        <f t="shared" si="3"/>
        <v/>
      </c>
      <c r="F10" s="13" t="str">
        <f t="shared" si="3"/>
        <v/>
      </c>
      <c r="G10" s="13" t="str">
        <f t="shared" si="3"/>
        <v/>
      </c>
      <c r="H10" s="13" t="str">
        <f t="shared" si="3"/>
        <v/>
      </c>
      <c r="I10" s="13" t="str">
        <f t="shared" si="3"/>
        <v/>
      </c>
      <c r="J10" s="13" t="str">
        <f t="shared" si="3"/>
        <v/>
      </c>
      <c r="K10" s="13" t="str">
        <f t="shared" si="3"/>
        <v/>
      </c>
      <c r="L10" s="13" t="str">
        <f t="shared" si="3"/>
        <v/>
      </c>
      <c r="M10" s="14"/>
      <c r="N10" s="3" t="s">
        <v>86</v>
      </c>
      <c r="O10" s="4" t="str">
        <f>IFERROR(__xludf.DUMMYFUNCTION("IF(COUNTA(C4:L4) = 0, """", IFERROR(TEXTJOIN("", "", TRUE, FILTER(C1:L1, C4:L4 = MIN(C4:L4))), """"))"),"")</f>
        <v/>
      </c>
      <c r="P10" s="4" t="str">
        <f>IFERROR(__xludf.DUMMYFUNCTION("IF(COUNTA(C4:L4) = 0, """", IFERROR(TEXTJOIN("", "", TRUE, FILTER(C1:L1, C11:L11 = MIN(C11:L11))), """"))"),"")</f>
        <v/>
      </c>
      <c r="Q10" s="4"/>
    </row>
    <row r="11">
      <c r="A11" s="3" t="s">
        <v>87</v>
      </c>
      <c r="B11" s="2"/>
      <c r="C11" s="15" t="str">
        <f t="shared" ref="C11:L11" si="4">C4</f>
        <v/>
      </c>
      <c r="D11" s="15" t="str">
        <f t="shared" si="4"/>
        <v/>
      </c>
      <c r="E11" s="15" t="str">
        <f t="shared" si="4"/>
        <v/>
      </c>
      <c r="F11" s="15" t="str">
        <f t="shared" si="4"/>
        <v/>
      </c>
      <c r="G11" s="15" t="str">
        <f t="shared" si="4"/>
        <v/>
      </c>
      <c r="H11" s="15" t="str">
        <f t="shared" si="4"/>
        <v/>
      </c>
      <c r="I11" s="15" t="str">
        <f t="shared" si="4"/>
        <v/>
      </c>
      <c r="J11" s="15" t="str">
        <f t="shared" si="4"/>
        <v/>
      </c>
      <c r="K11" s="15" t="str">
        <f t="shared" si="4"/>
        <v/>
      </c>
      <c r="L11" s="15" t="str">
        <f t="shared" si="4"/>
        <v/>
      </c>
      <c r="M11" s="14"/>
      <c r="N11" s="4"/>
      <c r="O11" s="12"/>
      <c r="P11" s="12"/>
      <c r="Q11" s="4"/>
    </row>
    <row r="12">
      <c r="A12" s="16" t="s">
        <v>88</v>
      </c>
      <c r="B12" s="2"/>
      <c r="C12" s="10" t="str">
        <f>IFERROR(__xludf.DUMMYFUNCTION("IF(C7="""","""",IF(REGEXMATCH(C7,""W""),IF(C4&lt;0,((-100/C4))*10,((C4/100)*10)),-10))"),"")</f>
        <v/>
      </c>
      <c r="D12" s="10" t="str">
        <f>IFERROR(__xludf.DUMMYFUNCTION("IF(D7="""","""",IF(REGEXMATCH(D7,""W""),IF(D4&lt;0,((-100/D4))*10,((D4/100)*10)),-10))"),"")</f>
        <v/>
      </c>
      <c r="E12" s="10" t="str">
        <f>IFERROR(__xludf.DUMMYFUNCTION("IF(E7="""","""",IF(REGEXMATCH(E7,""W""),IF(E4&lt;0,((-100/E4))*10,((E4/100)*10)),-10))"),"")</f>
        <v/>
      </c>
      <c r="F12" s="10" t="str">
        <f>IFERROR(__xludf.DUMMYFUNCTION("IF(F7="""","""",IF(REGEXMATCH(F7,""W""),IF(F4&lt;0,((-100/F4))*10,((F4/100)*10)),-10))"),"")</f>
        <v/>
      </c>
      <c r="G12" s="10" t="str">
        <f>IFERROR(__xludf.DUMMYFUNCTION("IF(G7="""","""",IF(REGEXMATCH(G7,""W""),IF(G4&lt;0,((-100/G4))*10,((G4/100)*10)),-10))"),"")</f>
        <v/>
      </c>
      <c r="H12" s="10" t="str">
        <f>IFERROR(__xludf.DUMMYFUNCTION("IF(H7="""","""",IF(REGEXMATCH(H7,""W""),IF(H4&lt;0,((-100/H4))*10,((H4/100)*10)),-10))"),"")</f>
        <v/>
      </c>
      <c r="I12" s="10" t="str">
        <f>IFERROR(__xludf.DUMMYFUNCTION("IF(I7="""","""",IF(REGEXMATCH(I7,""W""),IF(I4&lt;0,((-100/I4))*10,((I4/100)*10)),-10))"),"")</f>
        <v/>
      </c>
      <c r="J12" s="10" t="str">
        <f>IFERROR(__xludf.DUMMYFUNCTION("IF(J7="""","""",IF(REGEXMATCH(J7,""W""),IF(J4&lt;0,((-100/J4))*10,((J4/100)*10)),-10))"),"")</f>
        <v/>
      </c>
      <c r="K12" s="10" t="str">
        <f>IFERROR(__xludf.DUMMYFUNCTION("IF(K7="""","""",IF(REGEXMATCH(K7,""W""),IF(K4&lt;0,((-100/K4))*10,((K4/100)*10)),-10))"),"")</f>
        <v/>
      </c>
      <c r="L12" s="10" t="str">
        <f>IFERROR(__xludf.DUMMYFUNCTION("IF(L7="""","""",IF(REGEXMATCH(L7,""W""),IF(L4&lt;0,((-100/L4))*10,((L4/100)*10)),-10))"),"")</f>
        <v/>
      </c>
      <c r="M12" s="14"/>
      <c r="N12" s="16" t="s">
        <v>89</v>
      </c>
      <c r="O12" s="10">
        <f>sum(C12:L12)</f>
        <v>0</v>
      </c>
      <c r="P12" s="10">
        <f>O12</f>
        <v>0</v>
      </c>
      <c r="Q12" s="4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>
      <c r="A14" s="1" t="s">
        <v>91</v>
      </c>
      <c r="B14" s="2"/>
      <c r="C14" s="3" t="s">
        <v>1</v>
      </c>
      <c r="D14" s="3" t="s">
        <v>2</v>
      </c>
      <c r="E14" s="3" t="s">
        <v>3</v>
      </c>
      <c r="F14" s="3" t="s">
        <v>4</v>
      </c>
      <c r="G14" s="3" t="s">
        <v>5</v>
      </c>
      <c r="H14" s="3" t="s">
        <v>6</v>
      </c>
      <c r="I14" s="3" t="s">
        <v>7</v>
      </c>
      <c r="J14" s="3" t="s">
        <v>8</v>
      </c>
      <c r="K14" s="3" t="s">
        <v>9</v>
      </c>
      <c r="L14" s="3" t="s">
        <v>10</v>
      </c>
      <c r="M14" s="2"/>
      <c r="N14" s="4"/>
      <c r="O14" s="3" t="s">
        <v>11</v>
      </c>
      <c r="P14" s="4"/>
      <c r="Q14" s="4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>
      <c r="A16" s="3" t="s">
        <v>12</v>
      </c>
      <c r="B16" s="2"/>
      <c r="C16" s="18"/>
      <c r="D16" s="18"/>
      <c r="E16" s="18"/>
      <c r="F16" s="18"/>
      <c r="G16" s="5"/>
      <c r="H16" s="18"/>
      <c r="I16" s="5"/>
      <c r="J16" s="18"/>
      <c r="K16" s="18"/>
      <c r="L16" s="18"/>
      <c r="M16" s="2"/>
      <c r="N16" s="3" t="s">
        <v>13</v>
      </c>
      <c r="O16" s="7" t="str">
        <f>IF(AND(C17="",AND(D17="",AND(E17="",AND(F17="",AND(G17="",AND(H17="",AND(I17="",AND(J17="",AND(K17="",L17=""))))))))),"",IF(((IF(C17="",1,IF(C17&gt;0,(C17/100)+1,(100/((-1)*C17))+1)))*(IF(D17="",1,IF(D17&gt;0,(D17/100)+1,(100/((-1)*D17))+1)))*(IF(E17="",1,IF(E17&gt;0,(E17/100)+1,(100/((-1)*E17))+1)))*(IF(F17="",1,IF(F17&gt;0,(F17/100)+1,(100/((-1)*F17))+1)))*(IF(G17="",1,IF(G17&gt;0,(G17/100)+1,(100/((-1)*G17))+1)))*(IF(H17="",1,IF(H17&gt;0,(H17/100)+1,(100/((-1)*H17))+1)))*(IF(I17="",1,IF(I17&gt;0,(I17/100)+1,(100/((-1)*I17))+1)))*(IF(J17="",1,IF(J17&gt;0,(J17/100)+1,(100/((-1)*J17))+1)))*(IF(K17="",1,IF(K17&gt;0,(K17/100)+1,(100/((-1)*K17))+1)))*(IF(L17="",1,IF(L17&gt;0,(L17/100)+1,(100/((-1)*L17))+1))))&lt;2,((-100)/(((IF(C17="",1,IF(C17&gt;0,(C17/100)+1,(100/((-1)*C17))+1)))*(IF(D17="",1,IF(D17&gt;0,(D17/100)+1,(100/((-1)*D17))+1)))*(IF(E17="",1,IF(E17&gt;0,(E17/100)+1,(100/((-1)*E17))+1)))*(IF(F17="",1,IF(F17&gt;0,(F17/100)+1,(100/((-1)*F17))+1)))*(IF(G17="",1,IF(G17&gt;0,(G17/100)+1,(100/((-1)*G17))+1)))*(IF(H17="",1,IF(H17&gt;0,(H17/100)+1,(100/((-1)*H17))+1)))*(IF(I17="",1,IF(I17&gt;0,(I17/100)+1,(100/((-1)*I17))+1)))*(IF(J17="",1,IF(J17&gt;0,(J17/100)+1,(100/((-1)*J17))+1)))*(IF(K17="",1,IF(K17&gt;0,(K17/100)+1,(100/((-1)*K17))+1)))*(IF(L17="",1,IF(L17&gt;0,(L17/100)+1,(100/((-1)*L17))+1))))-1)),((((IF(C17="",1,IF(C17&gt;0,(C17/100)+1,(100/((-1)*C17))+1)))*(IF(D17="",1,IF(D17&gt;0,(D17/100)+1,(100/((-1)*D17))+1)))*(IF(E17="",1,IF(E17&gt;0,(E17/100)+1,(100/((-1)*E17))+1)))*(IF(F17="",1,IF(F17&gt;0,(F17/100)+1,(100/((-1)*F17))+1)))*(IF(G17="",1,IF(G17&gt;0,(G17/100)+1,(100/((-1)*G17))+1)))*(IF(H17="",1,IF(H17&gt;0,(H17/100)+1,(100/((-1)*H17))+1)))*(IF(I17="",1,IF(I17&gt;0,(I17/100)+1,(100/((-1)*I17))+1)))*(IF(J17="",1,IF(J17&gt;0,(J17/100)+1,(100/((-1)*J17))+1)))*(IF(K17="",1,IF(K17&gt;0,(K17/100)+1,(100/((-1)*K17))+1)))*(IF(L17="",1,IF(L17&gt;0,(L17/100)+1,(100/((-1)*L17))+1))))-1)*(100))))</f>
        <v/>
      </c>
      <c r="P16" s="4"/>
      <c r="Q16" s="8" t="s">
        <v>35</v>
      </c>
    </row>
    <row r="17">
      <c r="A17" s="3" t="s">
        <v>13</v>
      </c>
      <c r="B17" s="2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2">
        <v>1.0</v>
      </c>
      <c r="N17" s="3" t="s">
        <v>36</v>
      </c>
      <c r="O17" s="10" t="str">
        <f>IF(AND(C17="",AND(D17="",AND(E17="",AND(F17="",AND(G17="",AND(H17="",AND(I17="",AND(J17="",AND(K17="",L17=""))))))))),"",10+IF((IF(((IF(C17="",1,IF(C17&gt;0,(C17/100)+1,(100/((-1)*C17))+1)))*(IF(D17="",1,IF(D17&gt;0,(D17/100)+1,(100/((-1)*D17))+1)))*(IF(E17="",1,IF(E17&gt;0,(E17/100)+1,(100/((-1)*E17))+1)))*(IF(F17="",1,IF(F17&gt;0,(F17/100)+1,(100/((-1)*F17))+1)))*(IF(G17="",1,IF(G17&gt;0,(G17/100)+1,(100/((-1)*G17))+1)))*(IF(H17="",1,IF(H17&gt;0,(H17/100)+1,(100/((-1)*H17))+1)))*(IF(I17="",1,IF(I17&gt;0,(I17/100)+1,(100/((-1)*I17))+1)))*(IF(J17="",1,IF(J17&gt;0,(J17/100)+1,(100/((-1)*J17))+1)))*(IF(K17="",1,IF(K17&gt;0,(K17/100)+1,(100/((-1)*K17))+1)))*(IF(L17="",1,IF(L17&gt;0,(L17/100)+1,(100/((-1)*L17))+1))))&lt;2,((-100)/(((IF(C17="",1,IF(C17&gt;0,(C17/100)+1,(100/((-1)*C17))+1)))*(IF(D17="",1,IF(D17&gt;0,(D17/100)+1,(100/((-1)*D17))+1)))*(IF(E17="",1,IF(E17&gt;0,(E17/100)+1,(100/((-1)*E17))+1)))*(IF(F17="",1,IF(F17&gt;0,(F17/100)+1,(100/((-1)*F17))+1)))*(IF(G17="",1,IF(G17&gt;0,(G17/100)+1,(100/((-1)*G17))+1)))*(IF(H17="",1,IF(H17&gt;0,(H17/100)+1,(100/((-1)*H17))+1)))*(IF(I17="",1,IF(I17&gt;0,(I17/100)+1,(100/((-1)*I17))+1)))*(IF(J17="",1,IF(J17&gt;0,(J17/100)+1,(100/((-1)*J17))+1)))*(IF(K17="",1,IF(K17&gt;0,(K17/100)+1,(100/((-1)*K17))+1)))*(IF(L17="",1,IF(L17&gt;0,(L17/100)+1,(100/((-1)*L17))+1))))-1)),((((IF(C17="",1,IF(C17&gt;0,(C17/100)+1,(100/((-1)*C17))+1)))*(IF(D17="",1,IF(D17&gt;0,(D17/100)+1,(100/((-1)*D17))+1)))*(IF(E17="",1,IF(E17&gt;0,(E17/100)+1,(100/((-1)*E17))+1)))*(IF(F17="",1,IF(F17&gt;0,(F17/100)+1,(100/((-1)*F17))+1)))*(IF(G17="",1,IF(G17&gt;0,(G17/100)+1,(100/((-1)*G17))+1)))*(IF(H17="",1,IF(H17&gt;0,(H17/100)+1,(100/((-1)*H17))+1)))*(IF(I17="",1,IF(I17&gt;0,(I17/100)+1,(100/((-1)*I17))+1)))*(IF(J17="",1,IF(J17&gt;0,(J17/100)+1,(100/((-1)*J17))+1)))*(IF(K17="",1,IF(K17&gt;0,(K17/100)+1,(100/((-1)*K17))+1)))*(IF(L17="",1,IF(L17&gt;0,(L17/100)+1,(100/((-1)*L17))+1))))-1)*(100))))&lt;0,(((-100)/((IF(((IF(C17="",1,IF(C17&gt;0,(C17/100)+1,(100/((-1)*C17))+1)))*(IF(D17="",1,IF(D17&gt;0,(D17/100)+1,(100/((-1)*D17))+1)))*(IF(E17="",1,IF(E17&gt;0,(E17/100)+1,(100/((-1)*E17))+1)))*(IF(F17="",1,IF(F17&gt;0,(F17/100)+1,(100/((-1)*F17))+1)))*(IF(G17="",1,IF(G17&gt;0,(G17/100)+1,(100/((-1)*G17))+1)))*(IF(H17="",1,IF(H17&gt;0,(H17/100)+1,(100/((-1)*H17))+1)))*(IF(I17="",1,IF(I17&gt;0,(I17/100)+1,(100/((-1)*I17))+1)))*(IF(J17="",1,IF(J17&gt;0,(J17/100)+1,(100/((-1)*J17))+1)))*(IF(K17="",1,IF(K17&gt;0,(K17/100)+1,(100/((-1)*K17))+1)))*(IF(L17="",1,IF(L17&gt;0,(L17/100)+1,(100/((-1)*L17))+1))))&lt;2,((-100)/(((IF(C17="",1,IF(C17&gt;0,(C17/100)+1,(100/((-1)*C17))+1)))*(IF(D17="",1,IF(D17&gt;0,(D17/100)+1,(100/((-1)*D17))+1)))*(IF(E17="",1,IF(E17&gt;0,(E17/100)+1,(100/((-1)*E17))+1)))*(IF(F17="",1,IF(F17&gt;0,(F17/100)+1,(100/((-1)*F17))+1)))*(IF(G17="",1,IF(G17&gt;0,(G17/100)+1,(100/((-1)*G17))+1)))*(IF(H17="",1,IF(H17&gt;0,(H17/100)+1,(100/((-1)*H17))+1)))*(IF(I17="",1,IF(I17&gt;0,(I17/100)+1,(100/((-1)*I17))+1)))*(IF(J17="",1,IF(J17&gt;0,(J17/100)+1,(100/((-1)*J17))+1)))*(IF(K17="",1,IF(K17&gt;0,(K17/100)+1,(100/((-1)*K17))+1)))*(IF(L17="",1,IF(L17&gt;0,(L17/100)+1,(100/((-1)*L17))+1))))-1)),((((IF(C17="",1,IF(C17&gt;0,(C17/100)+1,(100/((-1)*C17))+1)))*(IF(D17="",1,IF(D17&gt;0,(D17/100)+1,(100/((-1)*D17))+1)))*(IF(E17="",1,IF(E17&gt;0,(E17/100)+1,(100/((-1)*E17))+1)))*(IF(F17="",1,IF(F17&gt;0,(F17/100)+1,(100/((-1)*F17))+1)))*(IF(G17="",1,IF(G17&gt;0,(G17/100)+1,(100/((-1)*G17))+1)))*(IF(H17="",1,IF(H17&gt;0,(H17/100)+1,(100/((-1)*H17))+1)))*(IF(I17="",1,IF(I17&gt;0,(I17/100)+1,(100/((-1)*I17))+1)))*(IF(J17="",1,IF(J17&gt;0,(J17/100)+1,(100/((-1)*J17))+1)))*(IF(K17="",1,IF(K17&gt;0,(K17/100)+1,(100/((-1)*K17))+1)))*(IF(L17="",1,IF(L17&gt;0,(L17/100)+1,(100/((-1)*L17))+1))))-1)*(100))))))*10),(((IF(((IF(C17="",1,IF(C17&gt;0,(C17/100)+1,(100/((-1)*C17))+1)))*(IF(D17="",1,IF(D17&gt;0,(D17/100)+1,(100/((-1)*D17))+1)))*(IF(E17="",1,IF(E17&gt;0,(E17/100)+1,(100/((-1)*E17))+1)))*(IF(F17="",1,IF(F17&gt;0,(F17/100)+1,(100/((-1)*F17))+1)))*(IF(G17="",1,IF(G17&gt;0,(G17/100)+1,(100/((-1)*G17))+1)))*(IF(H17="",1,IF(H17&gt;0,(H17/100)+1,(100/((-1)*H17))+1)))*(IF(I17="",1,IF(I17&gt;0,(I17/100)+1,(100/((-1)*I17))+1)))*(IF(J17="",1,IF(J17&gt;0,(J17/100)+1,(100/((-1)*J17))+1)))*(IF(K17="",1,IF(K17&gt;0,(K17/100)+1,(100/((-1)*K17))+1)))*(IF(L17="",1,IF(L17&gt;0,(L17/100)+1,(100/((-1)*L17))+1))))&lt;2,((-100)/(((IF(C17="",1,IF(C17&gt;0,(C17/100)+1,(100/((-1)*C17))+1)))*(IF(D17="",1,IF(D17&gt;0,(D17/100)+1,(100/((-1)*D17))+1)))*(IF(E17="",1,IF(E17&gt;0,(E17/100)+1,(100/((-1)*E17))+1)))*(IF(F17="",1,IF(F17&gt;0,(F17/100)+1,(100/((-1)*F17))+1)))*(IF(G17="",1,IF(G17&gt;0,(G17/100)+1,(100/((-1)*G17))+1)))*(IF(H17="",1,IF(H17&gt;0,(H17/100)+1,(100/((-1)*H17))+1)))*(IF(I17="",1,IF(I17&gt;0,(I17/100)+1,(100/((-1)*I17))+1)))*(IF(J17="",1,IF(J17&gt;0,(J17/100)+1,(100/((-1)*J17))+1)))*(IF(K17="",1,IF(K17&gt;0,(K17/100)+1,(100/((-1)*K17))+1)))*(IF(L17="",1,IF(L17&gt;0,(L17/100)+1,(100/((-1)*L17))+1))))-1)),((((IF(C17="",1,IF(C17&gt;0,(C17/100)+1,(100/((-1)*C17))+1)))*(IF(D17="",1,IF(D17&gt;0,(D17/100)+1,(100/((-1)*D17))+1)))*(IF(E17="",1,IF(E17&gt;0,(E17/100)+1,(100/((-1)*E17))+1)))*(IF(F17="",1,IF(F17&gt;0,(F17/100)+1,(100/((-1)*F17))+1)))*(IF(G17="",1,IF(G17&gt;0,(G17/100)+1,(100/((-1)*G17))+1)))*(IF(H17="",1,IF(H17&gt;0,(H17/100)+1,(100/((-1)*H17))+1)))*(IF(I17="",1,IF(I17&gt;0,(I17/100)+1,(100/((-1)*I17))+1)))*(IF(J17="",1,IF(J17&gt;0,(J17/100)+1,(100/((-1)*J17))+1)))*(IF(K17="",1,IF(K17&gt;0,(K17/100)+1,(100/((-1)*K17))+1)))*(IF(L17="",1,IF(L17&gt;0,(L17/100)+1,(100/((-1)*L17))+1))))-1)*(100))))/100)*10)))</f>
        <v/>
      </c>
      <c r="P17" s="4"/>
      <c r="Q17" s="4"/>
    </row>
    <row r="18">
      <c r="A18" s="3" t="s">
        <v>37</v>
      </c>
      <c r="B18" s="2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2"/>
      <c r="N18" s="4"/>
      <c r="O18" s="4"/>
      <c r="P18" s="4"/>
      <c r="Q18" s="4"/>
    </row>
    <row r="19">
      <c r="A19" s="3" t="s">
        <v>48</v>
      </c>
      <c r="B19" s="2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2"/>
      <c r="N19" s="4"/>
      <c r="O19" s="3" t="s">
        <v>56</v>
      </c>
      <c r="P19" s="3" t="s">
        <v>57</v>
      </c>
      <c r="Q19" s="4"/>
    </row>
    <row r="20">
      <c r="A20" s="3" t="s">
        <v>59</v>
      </c>
      <c r="B20" s="2"/>
      <c r="C20" s="5"/>
      <c r="D20" s="5"/>
      <c r="E20" s="5"/>
      <c r="F20" s="5"/>
      <c r="G20" s="5"/>
      <c r="H20" s="5"/>
      <c r="I20" s="5"/>
      <c r="J20" s="5"/>
      <c r="K20" s="5"/>
      <c r="L20" s="5"/>
      <c r="M20" s="2"/>
      <c r="N20" s="3" t="s">
        <v>65</v>
      </c>
      <c r="O20" s="12" t="str">
        <f>IFERROR(__xludf.DUMMYFUNCTION("IF(OR(COUNTA(C17:L17) = 0, COUNTA(C20:L20) = 0), """", IFERROR(TEXTJOIN("", "", TRUE, FILTER(C14:L14, (C20:L20 = ""W"") * (C17:L17 = MAX(FILTER(C17:L17, C20:L20 = ""W""))))), """"))"),"")</f>
        <v/>
      </c>
      <c r="P20" s="12" t="str">
        <f>IFERROR(__xludf.DUMMYFUNCTION("IF(COUNTA(C25:L25) = 0, """", IFERROR(TEXTJOIN("", "", TRUE, FILTER(C14:L14, C25:L25 = MAX(C25:L25))), """"))"),"")</f>
        <v/>
      </c>
      <c r="Q20" s="4"/>
    </row>
    <row r="21">
      <c r="A21" s="1" t="s">
        <v>81</v>
      </c>
      <c r="B21" s="2"/>
      <c r="C21" s="4" t="str">
        <f t="shared" ref="C21:L21" si="5">IF(OR(C17="",C20=""),"",C8+COUNTIF(C20,"W"))</f>
        <v/>
      </c>
      <c r="D21" s="4" t="str">
        <f t="shared" si="5"/>
        <v/>
      </c>
      <c r="E21" s="4" t="str">
        <f t="shared" si="5"/>
        <v/>
      </c>
      <c r="F21" s="4" t="str">
        <f t="shared" si="5"/>
        <v/>
      </c>
      <c r="G21" s="4" t="str">
        <f t="shared" si="5"/>
        <v/>
      </c>
      <c r="H21" s="4" t="str">
        <f t="shared" si="5"/>
        <v/>
      </c>
      <c r="I21" s="4" t="str">
        <f t="shared" si="5"/>
        <v/>
      </c>
      <c r="J21" s="4" t="str">
        <f t="shared" si="5"/>
        <v/>
      </c>
      <c r="K21" s="4" t="str">
        <f t="shared" si="5"/>
        <v/>
      </c>
      <c r="L21" s="4" t="str">
        <f t="shared" si="5"/>
        <v/>
      </c>
      <c r="M21" s="2"/>
      <c r="N21" s="3" t="s">
        <v>82</v>
      </c>
      <c r="O21" s="4" t="str">
        <f>IFERROR(__xludf.DUMMYFUNCTION("IF(OR(COUNTA(C17:L17) = 0, COUNTA(C20:L20) = 0), """", IFERROR(TEXTJOIN("", "", TRUE, FILTER(C14:L14, (C20:L20 = ""L"") * (C17:L17 = MIN(FILTER(C17:L17, C20:L20 = ""L""))))), """"))"),"")</f>
        <v/>
      </c>
      <c r="P21" s="12" t="str">
        <f>IFERROR(__xludf.DUMMYFUNCTION("IF(COUNTA(C25:L25) = 0, """", IFERROR(TEXTJOIN("", "", TRUE, FILTER(C14:L14, C25:L25 = MIN(C25:L25))), """"))"),"")</f>
        <v/>
      </c>
      <c r="Q21" s="4"/>
    </row>
    <row r="22">
      <c r="A22" s="1" t="s">
        <v>83</v>
      </c>
      <c r="B22" s="2"/>
      <c r="C22" s="22" t="str">
        <f t="shared" ref="C22:L22" si="6">IF(OR(C17="",C20=""),"",C9+COUNTIF(C20,"L"))</f>
        <v/>
      </c>
      <c r="D22" s="22" t="str">
        <f t="shared" si="6"/>
        <v/>
      </c>
      <c r="E22" s="22" t="str">
        <f t="shared" si="6"/>
        <v/>
      </c>
      <c r="F22" s="22" t="str">
        <f t="shared" si="6"/>
        <v/>
      </c>
      <c r="G22" s="22" t="str">
        <f t="shared" si="6"/>
        <v/>
      </c>
      <c r="H22" s="22" t="str">
        <f t="shared" si="6"/>
        <v/>
      </c>
      <c r="I22" s="22" t="str">
        <f t="shared" si="6"/>
        <v/>
      </c>
      <c r="J22" s="22" t="str">
        <f t="shared" si="6"/>
        <v/>
      </c>
      <c r="K22" s="22" t="str">
        <f t="shared" si="6"/>
        <v/>
      </c>
      <c r="L22" s="22" t="str">
        <f t="shared" si="6"/>
        <v/>
      </c>
      <c r="M22" s="2"/>
      <c r="N22" s="3" t="s">
        <v>84</v>
      </c>
      <c r="O22" s="12" t="str">
        <f>IFERROR(__xludf.DUMMYFUNCTION("IF(COUNTA(C17:L17) = 0, """", IFERROR(TEXTJOIN("", "", TRUE, FILTER(C14:L14, C17:L17 = MAX(C17:L17))), """"))"),"")</f>
        <v/>
      </c>
      <c r="P22" s="4" t="str">
        <f>IFERROR(__xludf.DUMMYFUNCTION("IF(COUNTA(C17:L17) = 0, """", IFERROR(TEXTJOIN("", "", TRUE, FILTER(C14:L14, C24:L24 = MAX(C24:L24))), """"))"),"")</f>
        <v/>
      </c>
      <c r="Q22" s="4"/>
    </row>
    <row r="23">
      <c r="A23" s="3" t="s">
        <v>85</v>
      </c>
      <c r="B23" s="2"/>
      <c r="C23" s="24" t="str">
        <f t="shared" ref="C23:L23" si="7">IF(OR(C17="",C20=""),"",(C21/(C21+C22)))</f>
        <v/>
      </c>
      <c r="D23" s="24" t="str">
        <f t="shared" si="7"/>
        <v/>
      </c>
      <c r="E23" s="24" t="str">
        <f t="shared" si="7"/>
        <v/>
      </c>
      <c r="F23" s="24" t="str">
        <f t="shared" si="7"/>
        <v/>
      </c>
      <c r="G23" s="24" t="str">
        <f t="shared" si="7"/>
        <v/>
      </c>
      <c r="H23" s="24" t="str">
        <f t="shared" si="7"/>
        <v/>
      </c>
      <c r="I23" s="24" t="str">
        <f t="shared" si="7"/>
        <v/>
      </c>
      <c r="J23" s="24" t="str">
        <f t="shared" si="7"/>
        <v/>
      </c>
      <c r="K23" s="24" t="str">
        <f t="shared" si="7"/>
        <v/>
      </c>
      <c r="L23" s="24" t="str">
        <f t="shared" si="7"/>
        <v/>
      </c>
      <c r="M23" s="14"/>
      <c r="N23" s="3" t="s">
        <v>86</v>
      </c>
      <c r="O23" s="4" t="str">
        <f>IFERROR(__xludf.DUMMYFUNCTION("IF(COUNTA(C17:L17) = 0, """", IFERROR(TEXTJOIN("", "", TRUE, FILTER(C14:L14, C17:L17 = MIN(C17:L17))), """"))"),"")</f>
        <v/>
      </c>
      <c r="P23" s="4" t="str">
        <f>IFERROR(__xludf.DUMMYFUNCTION("IF(COUNTA(C17:L17) = 0, """", IFERROR(TEXTJOIN("", "", TRUE, FILTER(C14:L14, C24:L24 = MIN(C24:L24))), """"))"),"")</f>
        <v/>
      </c>
      <c r="Q23" s="4"/>
    </row>
    <row r="24">
      <c r="A24" s="3" t="s">
        <v>87</v>
      </c>
      <c r="B24" s="2"/>
      <c r="C24" s="25" t="str">
        <f t="shared" ref="C24:L24" si="8">IF(C17="","",IF(((IF(C17 &lt;0,((-100/C17)+1),((C17/100)+1))+(IF(C11&lt;0,((-100/C11)+1),((C11/100)+1)))*(C8+C9))/(C8+C9+1))&lt;2,(-100/(((IF(C17 &lt;0,((-100/C17)+1),((C17/100)+1))+(IF(C11&lt;0,((-100/C11)+1),((C11/100)+1)))*(C8+C9))/(C8+C9+1))-1)),(((IF(C17 &lt;0,((-100/C17)+1),((C17/100)+1))+(IF(C11&lt;0,((-100/C11)+1),((C11/100)+1)))*(C8+C9))/(C8+C9+1))-1)*100))</f>
        <v/>
      </c>
      <c r="D24" s="25" t="str">
        <f t="shared" si="8"/>
        <v/>
      </c>
      <c r="E24" s="25" t="str">
        <f t="shared" si="8"/>
        <v/>
      </c>
      <c r="F24" s="25" t="str">
        <f t="shared" si="8"/>
        <v/>
      </c>
      <c r="G24" s="25" t="str">
        <f t="shared" si="8"/>
        <v/>
      </c>
      <c r="H24" s="25" t="str">
        <f t="shared" si="8"/>
        <v/>
      </c>
      <c r="I24" s="25" t="str">
        <f t="shared" si="8"/>
        <v/>
      </c>
      <c r="J24" s="25" t="str">
        <f t="shared" si="8"/>
        <v/>
      </c>
      <c r="K24" s="25" t="str">
        <f t="shared" si="8"/>
        <v/>
      </c>
      <c r="L24" s="25" t="str">
        <f t="shared" si="8"/>
        <v/>
      </c>
      <c r="M24" s="14"/>
      <c r="N24" s="4"/>
      <c r="O24" s="12"/>
      <c r="P24" s="12"/>
      <c r="Q24" s="4"/>
    </row>
    <row r="25">
      <c r="A25" s="16" t="s">
        <v>88</v>
      </c>
      <c r="B25" s="2"/>
      <c r="C25" s="26" t="str">
        <f>IFERROR(__xludf.DUMMYFUNCTION("IF(OR(C16="""",C20=""""),"""",IF(REGEXMATCH(C20,""W""),IF(C17&lt;0,((-100/C17))*10+C12,((C17/100)*10+C12)),-10+C12))"),"")</f>
        <v/>
      </c>
      <c r="D25" s="26" t="str">
        <f>IFERROR(__xludf.DUMMYFUNCTION("IF(OR(D16="""",D20=""""),"""",IF(REGEXMATCH(D20,""W""),IF(D17&lt;0,((-100/D17))*10+D12,((D17/100)*10+D12)),-10+D12))"),"")</f>
        <v/>
      </c>
      <c r="E25" s="26" t="str">
        <f>IFERROR(__xludf.DUMMYFUNCTION("IF(OR(E16="""",E20=""""),"""",IF(REGEXMATCH(E20,""W""),IF(E17&lt;0,((-100/E17))*10+E12,((E17/100)*10+E12)),-10+E12))"),"")</f>
        <v/>
      </c>
      <c r="F25" s="26" t="str">
        <f>IFERROR(__xludf.DUMMYFUNCTION("IF(OR(F16="""",F20=""""),"""",IF(REGEXMATCH(F20,""W""),IF(F17&lt;0,((-100/F17))*10+F12,((F17/100)*10+F12)),-10+F12))"),"")</f>
        <v/>
      </c>
      <c r="G25" s="26" t="str">
        <f>IFERROR(__xludf.DUMMYFUNCTION("IF(OR(G16="""",G20=""""),"""",IF(REGEXMATCH(G20,""W""),IF(G17&lt;0,((-100/G17))*10+G12,((G17/100)*10+G12)),-10+G12))"),"")</f>
        <v/>
      </c>
      <c r="H25" s="26" t="str">
        <f>IFERROR(__xludf.DUMMYFUNCTION("IF(OR(H16="""",H20=""""),"""",IF(REGEXMATCH(H20,""W""),IF(H17&lt;0,((-100/H17))*10+H12,((H17/100)*10+H12)),-10+H12))"),"")</f>
        <v/>
      </c>
      <c r="I25" s="26" t="str">
        <f>IFERROR(__xludf.DUMMYFUNCTION("IF(OR(I16="""",I20=""""),"""",IF(REGEXMATCH(I20,""W""),IF(I17&lt;0,((-100/I17))*10+I12,((I17/100)*10+I12)),-10+I12))"),"")</f>
        <v/>
      </c>
      <c r="J25" s="26" t="str">
        <f>IFERROR(__xludf.DUMMYFUNCTION("IF(OR(J16="""",J20=""""),"""",IF(REGEXMATCH(J20,""W""),IF(J17&lt;0,((-100/J17))*10+J12,((J17/100)*10+J12)),-10+J12))"),"")</f>
        <v/>
      </c>
      <c r="K25" s="26" t="str">
        <f>IFERROR(__xludf.DUMMYFUNCTION("IF(OR(K16="""",K20=""""),"""",IF(REGEXMATCH(K20,""W""),IF(K17&lt;0,((-100/K17))*10+K12,((K17/100)*10+K12)),-10+K12))"),"")</f>
        <v/>
      </c>
      <c r="L25" s="26" t="str">
        <f>IFERROR(__xludf.DUMMYFUNCTION("IF(OR(L16="""",L20=""""),"""",IF(REGEXMATCH(L20,""W""),IF(L17&lt;0,((-100/L17))*10+L12,((L17/100)*10+L12)),-10+L12))"),"")</f>
        <v/>
      </c>
      <c r="M25" s="14"/>
      <c r="N25" s="16" t="s">
        <v>89</v>
      </c>
      <c r="O25" s="10" t="str">
        <f>IFERROR(__xludf.DUMMYFUNCTION("IF(AND(C25="""",AND(D25="""",AND(E25="""",AND(F25="""",AND(G25="""",AND(H25="""",AND(I25="""",AND(J25="""",AND(K25="""",L25=""""))))))))),"""",(IF(C20="""",0,IF(REGEXMATCH(C20,""W""),IF(C17&lt;0,((-100/C17))*10,((C17/100)*10)),-10))+IF(D20="""",0,IF(REGEXMAT"&amp;"CH(D20,""W""),IF(D17&lt;0,((-100/D17))*10,((D17/100)*10)),-10))+IF(E20="""",0,IF(REGEXMATCH(E20,""W""),IF(E17&lt;0,((-100/E17))*10,((E17/100)*10)),-10))+IF(F20="""",0,IF(REGEXMATCH(F20,""W""),IF(F17&lt;0,((-100/F17))*10,((F17/100)*10)),-10))+IF(G20="""",0,IF(REGEX"&amp;"MATCH(G20,""W""),IF(G17&lt;0,((-100/G17))*10,((G17/100)*10)),-10))+IF(H20="""",0,IF(REGEXMATCH(H20,""W""),IF(H17&lt;0,((-100/H17))*10,((H17/100)*10)),-10))+IF(I20="""",0,IF(REGEXMATCH(I20,""W""),IF(I17&lt;0,((-100/I17))*10,((I17/100)*10)),-10))+IF(J20="""",0,IF(RE"&amp;"GEXMATCH(J20,""W""),IF(J17&lt;0,((-100/J17))*10,((J17/100)*10)),-10))+IF(K20="""",0,IF(REGEXMATCH(K20,""W""),IF(K17&lt;0,((-100/K17))*10,((K17/100)*10)),-10))+IF(L20="""",0,IF(REGEXMATCH(L20,""W""),IF(L17&lt;0,((-100/L17))*10,((L17/100)*10)),-10))))"),"")</f>
        <v/>
      </c>
      <c r="P25" s="10" t="str">
        <f>IFERROR(__xludf.DUMMYFUNCTION("IF(AND(C25="""",AND(D25="""",AND(E25="""",AND(F25="""",AND(G25="""",AND(H25="""",AND(I25="""",AND(J25="""",AND(K25="""",L25=""""))))))))),"""",(P12+IF(C20="""",0,IF(REGEXMATCH(C20,""W""),IF(C17&lt;0,((-100/C17))*10,((C17/100)*10)),-10))+IF(D20="""",0,IF(REGE"&amp;"XMATCH(D20,""W""),IF(D17&lt;0,((-100/D17))*10,((D17/100)*10)),-10))+IF(E20="""",0,IF(REGEXMATCH(E20,""W""),IF(E17&lt;0,((-100/E17))*10,((E17/100)*10)),-10))+IF(F20="""",0,IF(REGEXMATCH(F20,""W""),IF(F17&lt;0,((-100/F17))*10,((F17/100)*10)),-10))+IF(G20="""",0,IF(R"&amp;"EGEXMATCH(G20,""W""),IF(G17&lt;0,((-100/G17))*10,((G17/100)*10)),-10))+IF(H20="""",0,IF(REGEXMATCH(H20,""W""),IF(H17&lt;0,((-100/H17))*10,((H17/100)*10)),-10))+IF(I20="""",0,IF(REGEXMATCH(I20,""W""),IF(I17&lt;0,((-100/I17))*10,((I17/100)*10)),-10))+IF(J20="""",0,I"&amp;"F(REGEXMATCH(J20,""W""),IF(J17&lt;0,((-100/J17))*10,((J17/100)*10)),-10))+IF(K20="""",0,IF(REGEXMATCH(K20,""W""),IF(K17&lt;0,((-100/K17))*10,((K17/100)*10)),-10))+IF(L20="""",0,IF(REGEXMATCH(L20,""W""),IF(L17&lt;0,((-100/L17))*10,((L17/100)*10)),-10))))"),"")</f>
        <v/>
      </c>
      <c r="Q25" s="4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>
      <c r="A27" s="1" t="s">
        <v>149</v>
      </c>
      <c r="B27" s="2"/>
      <c r="C27" s="3" t="s">
        <v>1</v>
      </c>
      <c r="D27" s="3" t="s">
        <v>2</v>
      </c>
      <c r="E27" s="3" t="s">
        <v>3</v>
      </c>
      <c r="F27" s="3" t="s">
        <v>4</v>
      </c>
      <c r="G27" s="3" t="s">
        <v>5</v>
      </c>
      <c r="H27" s="3" t="s">
        <v>6</v>
      </c>
      <c r="I27" s="3" t="s">
        <v>7</v>
      </c>
      <c r="J27" s="3" t="s">
        <v>8</v>
      </c>
      <c r="K27" s="3" t="s">
        <v>9</v>
      </c>
      <c r="L27" s="3" t="s">
        <v>10</v>
      </c>
      <c r="M27" s="2"/>
      <c r="N27" s="4"/>
      <c r="O27" s="3" t="s">
        <v>11</v>
      </c>
      <c r="P27" s="4"/>
      <c r="Q27" s="4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>
      <c r="A29" s="3" t="s">
        <v>12</v>
      </c>
      <c r="B29" s="2"/>
      <c r="C29" s="18"/>
      <c r="D29" s="18"/>
      <c r="E29" s="5"/>
      <c r="F29" s="18"/>
      <c r="G29" s="5"/>
      <c r="H29" s="18"/>
      <c r="I29" s="5"/>
      <c r="J29" s="18"/>
      <c r="K29" s="18"/>
      <c r="L29" s="18"/>
      <c r="M29" s="2"/>
      <c r="N29" s="3" t="s">
        <v>13</v>
      </c>
      <c r="O29" s="7" t="str">
        <f>IF(AND(C30="",AND(D30="",AND(E30="",AND(F30="",AND(G30="",AND(H30="",AND(I30="",AND(J30="",AND(K30="",L30=""))))))))),"",IF(((IF(C30="",1,IF(C30&gt;0,(C30/100)+1,(100/((-1)*C30))+1)))*(IF(D30="",1,IF(D30&gt;0,(D30/100)+1,(100/((-1)*D30))+1)))*(IF(E30="",1,IF(E30&gt;0,(E30/100)+1,(100/((-1)*E30))+1)))*(IF(F30="",1,IF(F30&gt;0,(F30/100)+1,(100/((-1)*F30))+1)))*(IF(G30="",1,IF(G30&gt;0,(G30/100)+1,(100/((-1)*G30))+1)))*(IF(H30="",1,IF(H30&gt;0,(H30/100)+1,(100/((-1)*H30))+1)))*(IF(I30="",1,IF(I30&gt;0,(I30/100)+1,(100/((-1)*I30))+1)))*(IF(J30="",1,IF(J30&gt;0,(J30/100)+1,(100/((-1)*J30))+1)))*(IF(K30="",1,IF(K30&gt;0,(K30/100)+1,(100/((-1)*K30))+1)))*(IF(L30="",1,IF(L30&gt;0,(L30/100)+1,(100/((-1)*L30))+1))))&lt;2,((-100)/(((IF(C30="",1,IF(C30&gt;0,(C30/100)+1,(100/((-1)*C30))+1)))*(IF(D30="",1,IF(D30&gt;0,(D30/100)+1,(100/((-1)*D30))+1)))*(IF(E30="",1,IF(E30&gt;0,(E30/100)+1,(100/((-1)*E30))+1)))*(IF(F30="",1,IF(F30&gt;0,(F30/100)+1,(100/((-1)*F30))+1)))*(IF(G30="",1,IF(G30&gt;0,(G30/100)+1,(100/((-1)*G30))+1)))*(IF(H30="",1,IF(H30&gt;0,(H30/100)+1,(100/((-1)*H30))+1)))*(IF(I30="",1,IF(I30&gt;0,(I30/100)+1,(100/((-1)*I30))+1)))*(IF(J30="",1,IF(J30&gt;0,(J30/100)+1,(100/((-1)*J30))+1)))*(IF(K30="",1,IF(K30&gt;0,(K30/100)+1,(100/((-1)*K30))+1)))*(IF(L30="",1,IF(L30&gt;0,(L30/100)+1,(100/((-1)*L30))+1))))-1)),((((IF(C30="",1,IF(C30&gt;0,(C30/100)+1,(100/((-1)*C30))+1)))*(IF(D30="",1,IF(D30&gt;0,(D30/100)+1,(100/((-1)*D30))+1)))*(IF(E30="",1,IF(E30&gt;0,(E30/100)+1,(100/((-1)*E30))+1)))*(IF(F30="",1,IF(F30&gt;0,(F30/100)+1,(100/((-1)*F30))+1)))*(IF(G30="",1,IF(G30&gt;0,(G30/100)+1,(100/((-1)*G30))+1)))*(IF(H30="",1,IF(H30&gt;0,(H30/100)+1,(100/((-1)*H30))+1)))*(IF(I30="",1,IF(I30&gt;0,(I30/100)+1,(100/((-1)*I30))+1)))*(IF(J30="",1,IF(J30&gt;0,(J30/100)+1,(100/((-1)*J30))+1)))*(IF(K30="",1,IF(K30&gt;0,(K30/100)+1,(100/((-1)*K30))+1)))*(IF(L30="",1,IF(L30&gt;0,(L30/100)+1,(100/((-1)*L30))+1))))-1)*(100))))</f>
        <v/>
      </c>
      <c r="P29" s="4"/>
      <c r="Q29" s="8" t="s">
        <v>35</v>
      </c>
    </row>
    <row r="30">
      <c r="A30" s="3" t="s">
        <v>13</v>
      </c>
      <c r="B30" s="2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2">
        <v>2.0</v>
      </c>
      <c r="N30" s="3" t="s">
        <v>36</v>
      </c>
      <c r="O30" s="10" t="str">
        <f>IF(AND(C30="",AND(D30="",AND(E30="",AND(F30="",AND(G30="",AND(H30="",AND(I30="",AND(J30="",AND(K30="",L30=""))))))))),"",10+IF((IF(((IF(C30="",1,IF(C30&gt;0,(C30/100)+1,(100/((-1)*C30))+1)))*(IF(D30="",1,IF(D30&gt;0,(D30/100)+1,(100/((-1)*D30))+1)))*(IF(E30="",1,IF(E30&gt;0,(E30/100)+1,(100/((-1)*E30))+1)))*(IF(F30="",1,IF(F30&gt;0,(F30/100)+1,(100/((-1)*F30))+1)))*(IF(G30="",1,IF(G30&gt;0,(G30/100)+1,(100/((-1)*G30))+1)))*(IF(H30="",1,IF(H30&gt;0,(H30/100)+1,(100/((-1)*H30))+1)))*(IF(I30="",1,IF(I30&gt;0,(I30/100)+1,(100/((-1)*I30))+1)))*(IF(J30="",1,IF(J30&gt;0,(J30/100)+1,(100/((-1)*J30))+1)))*(IF(K30="",1,IF(K30&gt;0,(K30/100)+1,(100/((-1)*K30))+1)))*(IF(L30="",1,IF(L30&gt;0,(L30/100)+1,(100/((-1)*L30))+1))))&lt;2,((-100)/(((IF(C30="",1,IF(C30&gt;0,(C30/100)+1,(100/((-1)*C30))+1)))*(IF(D30="",1,IF(D30&gt;0,(D30/100)+1,(100/((-1)*D30))+1)))*(IF(E30="",1,IF(E30&gt;0,(E30/100)+1,(100/((-1)*E30))+1)))*(IF(F30="",1,IF(F30&gt;0,(F30/100)+1,(100/((-1)*F30))+1)))*(IF(G30="",1,IF(G30&gt;0,(G30/100)+1,(100/((-1)*G30))+1)))*(IF(H30="",1,IF(H30&gt;0,(H30/100)+1,(100/((-1)*H30))+1)))*(IF(I30="",1,IF(I30&gt;0,(I30/100)+1,(100/((-1)*I30))+1)))*(IF(J30="",1,IF(J30&gt;0,(J30/100)+1,(100/((-1)*J30))+1)))*(IF(K30="",1,IF(K30&gt;0,(K30/100)+1,(100/((-1)*K30))+1)))*(IF(L30="",1,IF(L30&gt;0,(L30/100)+1,(100/((-1)*L30))+1))))-1)),((((IF(C30="",1,IF(C30&gt;0,(C30/100)+1,(100/((-1)*C30))+1)))*(IF(D30="",1,IF(D30&gt;0,(D30/100)+1,(100/((-1)*D30))+1)))*(IF(E30="",1,IF(E30&gt;0,(E30/100)+1,(100/((-1)*E30))+1)))*(IF(F30="",1,IF(F30&gt;0,(F30/100)+1,(100/((-1)*F30))+1)))*(IF(G30="",1,IF(G30&gt;0,(G30/100)+1,(100/((-1)*G30))+1)))*(IF(H30="",1,IF(H30&gt;0,(H30/100)+1,(100/((-1)*H30))+1)))*(IF(I30="",1,IF(I30&gt;0,(I30/100)+1,(100/((-1)*I30))+1)))*(IF(J30="",1,IF(J30&gt;0,(J30/100)+1,(100/((-1)*J30))+1)))*(IF(K30="",1,IF(K30&gt;0,(K30/100)+1,(100/((-1)*K30))+1)))*(IF(L30="",1,IF(L30&gt;0,(L30/100)+1,(100/((-1)*L30))+1))))-1)*(100))))&lt;0,(((-100)/((IF(((IF(C30="",1,IF(C30&gt;0,(C30/100)+1,(100/((-1)*C30))+1)))*(IF(D30="",1,IF(D30&gt;0,(D30/100)+1,(100/((-1)*D30))+1)))*(IF(E30="",1,IF(E30&gt;0,(E30/100)+1,(100/((-1)*E30))+1)))*(IF(F30="",1,IF(F30&gt;0,(F30/100)+1,(100/((-1)*F30))+1)))*(IF(G30="",1,IF(G30&gt;0,(G30/100)+1,(100/((-1)*G30))+1)))*(IF(H30="",1,IF(H30&gt;0,(H30/100)+1,(100/((-1)*H30))+1)))*(IF(I30="",1,IF(I30&gt;0,(I30/100)+1,(100/((-1)*I30))+1)))*(IF(J30="",1,IF(J30&gt;0,(J30/100)+1,(100/((-1)*J30))+1)))*(IF(K30="",1,IF(K30&gt;0,(K30/100)+1,(100/((-1)*K30))+1)))*(IF(L30="",1,IF(L30&gt;0,(L30/100)+1,(100/((-1)*L30))+1))))&lt;2,((-100)/(((IF(C30="",1,IF(C30&gt;0,(C30/100)+1,(100/((-1)*C30))+1)))*(IF(D30="",1,IF(D30&gt;0,(D30/100)+1,(100/((-1)*D30))+1)))*(IF(E30="",1,IF(E30&gt;0,(E30/100)+1,(100/((-1)*E30))+1)))*(IF(F30="",1,IF(F30&gt;0,(F30/100)+1,(100/((-1)*F30))+1)))*(IF(G30="",1,IF(G30&gt;0,(G30/100)+1,(100/((-1)*G30))+1)))*(IF(H30="",1,IF(H30&gt;0,(H30/100)+1,(100/((-1)*H30))+1)))*(IF(I30="",1,IF(I30&gt;0,(I30/100)+1,(100/((-1)*I30))+1)))*(IF(J30="",1,IF(J30&gt;0,(J30/100)+1,(100/((-1)*J30))+1)))*(IF(K30="",1,IF(K30&gt;0,(K30/100)+1,(100/((-1)*K30))+1)))*(IF(L30="",1,IF(L30&gt;0,(L30/100)+1,(100/((-1)*L30))+1))))-1)),((((IF(C30="",1,IF(C30&gt;0,(C30/100)+1,(100/((-1)*C30))+1)))*(IF(D30="",1,IF(D30&gt;0,(D30/100)+1,(100/((-1)*D30))+1)))*(IF(E30="",1,IF(E30&gt;0,(E30/100)+1,(100/((-1)*E30))+1)))*(IF(F30="",1,IF(F30&gt;0,(F30/100)+1,(100/((-1)*F30))+1)))*(IF(G30="",1,IF(G30&gt;0,(G30/100)+1,(100/((-1)*G30))+1)))*(IF(H30="",1,IF(H30&gt;0,(H30/100)+1,(100/((-1)*H30))+1)))*(IF(I30="",1,IF(I30&gt;0,(I30/100)+1,(100/((-1)*I30))+1)))*(IF(J30="",1,IF(J30&gt;0,(J30/100)+1,(100/((-1)*J30))+1)))*(IF(K30="",1,IF(K30&gt;0,(K30/100)+1,(100/((-1)*K30))+1)))*(IF(L30="",1,IF(L30&gt;0,(L30/100)+1,(100/((-1)*L30))+1))))-1)*(100))))))*10),(((IF(((IF(C30="",1,IF(C30&gt;0,(C30/100)+1,(100/((-1)*C30))+1)))*(IF(D30="",1,IF(D30&gt;0,(D30/100)+1,(100/((-1)*D30))+1)))*(IF(E30="",1,IF(E30&gt;0,(E30/100)+1,(100/((-1)*E30))+1)))*(IF(F30="",1,IF(F30&gt;0,(F30/100)+1,(100/((-1)*F30))+1)))*(IF(G30="",1,IF(G30&gt;0,(G30/100)+1,(100/((-1)*G30))+1)))*(IF(H30="",1,IF(H30&gt;0,(H30/100)+1,(100/((-1)*H30))+1)))*(IF(I30="",1,IF(I30&gt;0,(I30/100)+1,(100/((-1)*I30))+1)))*(IF(J30="",1,IF(J30&gt;0,(J30/100)+1,(100/((-1)*J30))+1)))*(IF(K30="",1,IF(K30&gt;0,(K30/100)+1,(100/((-1)*K30))+1)))*(IF(L30="",1,IF(L30&gt;0,(L30/100)+1,(100/((-1)*L30))+1))))&lt;2,((-100)/(((IF(C30="",1,IF(C30&gt;0,(C30/100)+1,(100/((-1)*C30))+1)))*(IF(D30="",1,IF(D30&gt;0,(D30/100)+1,(100/((-1)*D30))+1)))*(IF(E30="",1,IF(E30&gt;0,(E30/100)+1,(100/((-1)*E30))+1)))*(IF(F30="",1,IF(F30&gt;0,(F30/100)+1,(100/((-1)*F30))+1)))*(IF(G30="",1,IF(G30&gt;0,(G30/100)+1,(100/((-1)*G30))+1)))*(IF(H30="",1,IF(H30&gt;0,(H30/100)+1,(100/((-1)*H30))+1)))*(IF(I30="",1,IF(I30&gt;0,(I30/100)+1,(100/((-1)*I30))+1)))*(IF(J30="",1,IF(J30&gt;0,(J30/100)+1,(100/((-1)*J30))+1)))*(IF(K30="",1,IF(K30&gt;0,(K30/100)+1,(100/((-1)*K30))+1)))*(IF(L30="",1,IF(L30&gt;0,(L30/100)+1,(100/((-1)*L30))+1))))-1)),((((IF(C30="",1,IF(C30&gt;0,(C30/100)+1,(100/((-1)*C30))+1)))*(IF(D30="",1,IF(D30&gt;0,(D30/100)+1,(100/((-1)*D30))+1)))*(IF(E30="",1,IF(E30&gt;0,(E30/100)+1,(100/((-1)*E30))+1)))*(IF(F30="",1,IF(F30&gt;0,(F30/100)+1,(100/((-1)*F30))+1)))*(IF(G30="",1,IF(G30&gt;0,(G30/100)+1,(100/((-1)*G30))+1)))*(IF(H30="",1,IF(H30&gt;0,(H30/100)+1,(100/((-1)*H30))+1)))*(IF(I30="",1,IF(I30&gt;0,(I30/100)+1,(100/((-1)*I30))+1)))*(IF(J30="",1,IF(J30&gt;0,(J30/100)+1,(100/((-1)*J30))+1)))*(IF(K30="",1,IF(K30&gt;0,(K30/100)+1,(100/((-1)*K30))+1)))*(IF(L30="",1,IF(L30&gt;0,(L30/100)+1,(100/((-1)*L30))+1))))-1)*(100))))/100)*10)))</f>
        <v/>
      </c>
      <c r="P30" s="4"/>
      <c r="Q30" s="4"/>
    </row>
    <row r="31">
      <c r="A31" s="3" t="s">
        <v>37</v>
      </c>
      <c r="B31" s="2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2"/>
      <c r="N31" s="4"/>
      <c r="O31" s="4"/>
      <c r="P31" s="4"/>
      <c r="Q31" s="4"/>
    </row>
    <row r="32">
      <c r="A32" s="3" t="s">
        <v>48</v>
      </c>
      <c r="B32" s="2"/>
      <c r="C32" s="5"/>
      <c r="D32" s="5"/>
      <c r="E32" s="5"/>
      <c r="F32" s="5"/>
      <c r="G32" s="11"/>
      <c r="H32" s="5"/>
      <c r="I32" s="5"/>
      <c r="J32" s="5"/>
      <c r="K32" s="5"/>
      <c r="L32" s="5"/>
      <c r="M32" s="2"/>
      <c r="N32" s="4"/>
      <c r="O32" s="3" t="s">
        <v>56</v>
      </c>
      <c r="P32" s="3" t="s">
        <v>57</v>
      </c>
      <c r="Q32" s="4"/>
    </row>
    <row r="33">
      <c r="A33" s="3" t="s">
        <v>59</v>
      </c>
      <c r="B33" s="2"/>
      <c r="C33" s="5"/>
      <c r="D33" s="5"/>
      <c r="E33" s="5"/>
      <c r="F33" s="5"/>
      <c r="G33" s="5"/>
      <c r="H33" s="5"/>
      <c r="I33" s="5"/>
      <c r="J33" s="5"/>
      <c r="K33" s="5"/>
      <c r="L33" s="5"/>
      <c r="M33" s="2"/>
      <c r="N33" s="3" t="s">
        <v>65</v>
      </c>
      <c r="O33" s="12" t="str">
        <f>IFERROR(__xludf.DUMMYFUNCTION("IF(OR(COUNTA(C30:L30) = 0, COUNTA(C33:L33) = 0), """", IFERROR(TEXTJOIN("", "", TRUE, FILTER(C27:L27, (C33:L33 = ""W"") * (C30:L30 = MAX(FILTER(C30:L30, C33:L33 = ""W""))))), """"))"),"")</f>
        <v/>
      </c>
      <c r="P33" s="12" t="str">
        <f>IFERROR(__xludf.DUMMYFUNCTION("IF(COUNTA(C38:L38) = 0, """", IFERROR(TEXTJOIN("", "", TRUE, FILTER(C27:L27, C38:L38 = MAX(C38:L38))), """"))"),"")</f>
        <v/>
      </c>
      <c r="Q33" s="4"/>
    </row>
    <row r="34">
      <c r="A34" s="1" t="s">
        <v>81</v>
      </c>
      <c r="B34" s="2"/>
      <c r="C34" s="4" t="str">
        <f t="shared" ref="C34:L34" si="9">IF(OR(C30="",C33=""),"",C21+COUNTIF(C33,"W"))</f>
        <v/>
      </c>
      <c r="D34" s="4" t="str">
        <f t="shared" si="9"/>
        <v/>
      </c>
      <c r="E34" s="4" t="str">
        <f t="shared" si="9"/>
        <v/>
      </c>
      <c r="F34" s="4" t="str">
        <f t="shared" si="9"/>
        <v/>
      </c>
      <c r="G34" s="4" t="str">
        <f t="shared" si="9"/>
        <v/>
      </c>
      <c r="H34" s="4" t="str">
        <f t="shared" si="9"/>
        <v/>
      </c>
      <c r="I34" s="4" t="str">
        <f t="shared" si="9"/>
        <v/>
      </c>
      <c r="J34" s="4" t="str">
        <f t="shared" si="9"/>
        <v/>
      </c>
      <c r="K34" s="4" t="str">
        <f t="shared" si="9"/>
        <v/>
      </c>
      <c r="L34" s="4" t="str">
        <f t="shared" si="9"/>
        <v/>
      </c>
      <c r="M34" s="2"/>
      <c r="N34" s="3" t="s">
        <v>82</v>
      </c>
      <c r="O34" s="4" t="str">
        <f>IFERROR(__xludf.DUMMYFUNCTION("IF(OR(COUNTA(C30:L30) = 0, COUNTA(C33:L33) = 0), """", IFERROR(TEXTJOIN("", "", TRUE, FILTER(C27:L27, (C33:L33 = ""L"") * (C30:L30 = MIN(FILTER(C30:L30, C33:L33 = ""L""))))), """"))"),"")</f>
        <v/>
      </c>
      <c r="P34" s="12" t="str">
        <f>IFERROR(__xludf.DUMMYFUNCTION("IF(COUNTA(C38:L38) = 0, """", IFERROR(TEXTJOIN("", "", TRUE, FILTER(C27:L27, C38:L38 = MIN(C38:L38))), """"))"),"")</f>
        <v/>
      </c>
      <c r="Q34" s="4"/>
    </row>
    <row r="35">
      <c r="A35" s="1" t="s">
        <v>83</v>
      </c>
      <c r="B35" s="2"/>
      <c r="C35" s="27" t="str">
        <f t="shared" ref="C35:L35" si="10">IF(OR(C30="",C33=""),"",C22+COUNTIF(C33,"L"))</f>
        <v/>
      </c>
      <c r="D35" s="27" t="str">
        <f t="shared" si="10"/>
        <v/>
      </c>
      <c r="E35" s="27" t="str">
        <f t="shared" si="10"/>
        <v/>
      </c>
      <c r="F35" s="27" t="str">
        <f t="shared" si="10"/>
        <v/>
      </c>
      <c r="G35" s="27" t="str">
        <f t="shared" si="10"/>
        <v/>
      </c>
      <c r="H35" s="27" t="str">
        <f t="shared" si="10"/>
        <v/>
      </c>
      <c r="I35" s="27" t="str">
        <f t="shared" si="10"/>
        <v/>
      </c>
      <c r="J35" s="27" t="str">
        <f t="shared" si="10"/>
        <v/>
      </c>
      <c r="K35" s="27" t="str">
        <f t="shared" si="10"/>
        <v/>
      </c>
      <c r="L35" s="27" t="str">
        <f t="shared" si="10"/>
        <v/>
      </c>
      <c r="M35" s="2"/>
      <c r="N35" s="3" t="s">
        <v>84</v>
      </c>
      <c r="O35" s="12" t="str">
        <f>IFERROR(__xludf.DUMMYFUNCTION("IF(COUNTA(C30:L30) = 0, """", IFERROR(TEXTJOIN("", "", TRUE, FILTER(C27:L27, C30:L30 = MAX(C30:L30))), """"))"),"")</f>
        <v/>
      </c>
      <c r="P35" s="4" t="str">
        <f>IFERROR(__xludf.DUMMYFUNCTION("IF(COUNTA(C30:L30) = 0, """", IFERROR(TEXTJOIN("", "", TRUE, FILTER(C27:L27, C37:L37 = MAX(C37:L37))), """"))"),"")</f>
        <v/>
      </c>
      <c r="Q35" s="4"/>
    </row>
    <row r="36">
      <c r="A36" s="3" t="s">
        <v>85</v>
      </c>
      <c r="B36" s="2"/>
      <c r="C36" s="24" t="str">
        <f t="shared" ref="C36:L36" si="11">IF(OR(C30="",C33=""),"",(C34/(C34+C35)))</f>
        <v/>
      </c>
      <c r="D36" s="24" t="str">
        <f t="shared" si="11"/>
        <v/>
      </c>
      <c r="E36" s="24" t="str">
        <f t="shared" si="11"/>
        <v/>
      </c>
      <c r="F36" s="24" t="str">
        <f t="shared" si="11"/>
        <v/>
      </c>
      <c r="G36" s="24" t="str">
        <f t="shared" si="11"/>
        <v/>
      </c>
      <c r="H36" s="24" t="str">
        <f t="shared" si="11"/>
        <v/>
      </c>
      <c r="I36" s="24" t="str">
        <f t="shared" si="11"/>
        <v/>
      </c>
      <c r="J36" s="24" t="str">
        <f t="shared" si="11"/>
        <v/>
      </c>
      <c r="K36" s="24" t="str">
        <f t="shared" si="11"/>
        <v/>
      </c>
      <c r="L36" s="24" t="str">
        <f t="shared" si="11"/>
        <v/>
      </c>
      <c r="M36" s="14"/>
      <c r="N36" s="3" t="s">
        <v>86</v>
      </c>
      <c r="O36" s="4" t="str">
        <f>IFERROR(__xludf.DUMMYFUNCTION("IF(COUNTA(C30:L30) = 0, """", IFERROR(TEXTJOIN("", "", TRUE, FILTER(C27:L27, C30:L30 = MIN(C30:L30))), """"))"),"")</f>
        <v/>
      </c>
      <c r="P36" s="4" t="str">
        <f>IFERROR(__xludf.DUMMYFUNCTION("IF(COUNTA(C30:L30) = 0, """", IFERROR(TEXTJOIN("", "", TRUE, FILTER(C27:L27, C37:L37 = MIN(C37:L37))), """"))"),"")</f>
        <v/>
      </c>
      <c r="Q36" s="4"/>
    </row>
    <row r="37">
      <c r="A37" s="3" t="s">
        <v>87</v>
      </c>
      <c r="B37" s="2"/>
      <c r="C37" s="25" t="str">
        <f t="shared" ref="C37:L37" si="12">IF(C30="","",IF(((IF(C30 &lt;0,((-100/C30)+1),((C30/100)+1))+(IF(C24&lt;0,((-100/C24)+1),((C24/100)+1)))*(C21+C22))/(C21+C22+1))&lt;2,(-100/(((IF(C30 &lt;0,((-100/C30)+1),((C30/100)+1))+(IF(C24&lt;0,((-100/C24)+1),((C24/100)+1)))*(C21+C22))/(C21+C22+1))-1)),(((IF(C30 &lt;0,((-100/C30)+1),((C30/100)+1))+(IF(C24&lt;0,((-100/C24)+1),((C24/100)+1)))*(C21+C22))/(C21+C22+1))-1)*100))</f>
        <v/>
      </c>
      <c r="D37" s="25" t="str">
        <f t="shared" si="12"/>
        <v/>
      </c>
      <c r="E37" s="25" t="str">
        <f t="shared" si="12"/>
        <v/>
      </c>
      <c r="F37" s="25" t="str">
        <f t="shared" si="12"/>
        <v/>
      </c>
      <c r="G37" s="25" t="str">
        <f t="shared" si="12"/>
        <v/>
      </c>
      <c r="H37" s="25" t="str">
        <f t="shared" si="12"/>
        <v/>
      </c>
      <c r="I37" s="25" t="str">
        <f t="shared" si="12"/>
        <v/>
      </c>
      <c r="J37" s="25" t="str">
        <f t="shared" si="12"/>
        <v/>
      </c>
      <c r="K37" s="25" t="str">
        <f t="shared" si="12"/>
        <v/>
      </c>
      <c r="L37" s="25" t="str">
        <f t="shared" si="12"/>
        <v/>
      </c>
      <c r="M37" s="14"/>
      <c r="N37" s="4"/>
      <c r="O37" s="12"/>
      <c r="P37" s="12"/>
      <c r="Q37" s="4"/>
    </row>
    <row r="38">
      <c r="A38" s="16" t="s">
        <v>88</v>
      </c>
      <c r="B38" s="2"/>
      <c r="C38" s="26" t="str">
        <f>IFERROR(__xludf.DUMMYFUNCTION("IF(OR(C30="""",C33=""""),"""",IF(REGEXMATCH(C33,""W""),IF(C30&lt;0,((-100/C30))*10+C25,((C30/100)*10+C25)),-10+C25))"),"")</f>
        <v/>
      </c>
      <c r="D38" s="26" t="str">
        <f>IFERROR(__xludf.DUMMYFUNCTION("IF(OR(D30="""",D33=""""),"""",IF(REGEXMATCH(D33,""W""),IF(D30&lt;0,((-100/D30))*10+D25,((D30/100)*10+D25)),-10+D25))"),"")</f>
        <v/>
      </c>
      <c r="E38" s="26" t="str">
        <f>IFERROR(__xludf.DUMMYFUNCTION("IF(OR(E30="""",E33=""""),"""",IF(REGEXMATCH(E33,""W""),IF(E30&lt;0,((-100/E30))*10+E25,((E30/100)*10+E25)),-10+E25))"),"")</f>
        <v/>
      </c>
      <c r="F38" s="26" t="str">
        <f>IFERROR(__xludf.DUMMYFUNCTION("IF(OR(F30="""",F33=""""),"""",IF(REGEXMATCH(F33,""W""),IF(F30&lt;0,((-100/F30))*10+F25,((F30/100)*10+F25)),-10+F25))"),"")</f>
        <v/>
      </c>
      <c r="G38" s="26" t="str">
        <f>IFERROR(__xludf.DUMMYFUNCTION("IF(OR(G30="""",G33=""""),"""",IF(REGEXMATCH(G33,""W""),IF(G30&lt;0,((-100/G30))*10+G25,((G30/100)*10+G25)),-10+G25))"),"")</f>
        <v/>
      </c>
      <c r="H38" s="26" t="str">
        <f>IFERROR(__xludf.DUMMYFUNCTION("IF(OR(H30="""",H33=""""),"""",IF(REGEXMATCH(H33,""W""),IF(H30&lt;0,((-100/H30))*10+H25,((H30/100)*10+H25)),-10+H25))"),"")</f>
        <v/>
      </c>
      <c r="I38" s="26" t="str">
        <f>IFERROR(__xludf.DUMMYFUNCTION("IF(OR(I30="""",I33=""""),"""",IF(REGEXMATCH(I33,""W""),IF(I30&lt;0,((-100/I30))*10+I25,((I30/100)*10+I25)),-10+I25))"),"")</f>
        <v/>
      </c>
      <c r="J38" s="26" t="str">
        <f>IFERROR(__xludf.DUMMYFUNCTION("IF(OR(J30="""",J33=""""),"""",IF(REGEXMATCH(J33,""W""),IF(J30&lt;0,((-100/J30))*10+J25,((J30/100)*10+J25)),-10+J25))"),"")</f>
        <v/>
      </c>
      <c r="K38" s="26" t="str">
        <f>IFERROR(__xludf.DUMMYFUNCTION("IF(OR(K30="""",K33=""""),"""",IF(REGEXMATCH(K33,""W""),IF(K30&lt;0,((-100/K30))*10+K25,((K30/100)*10+K25)),-10+K25))"),"")</f>
        <v/>
      </c>
      <c r="L38" s="26" t="str">
        <f>IFERROR(__xludf.DUMMYFUNCTION("IF(OR(L30="""",L33=""""),"""",IF(REGEXMATCH(L33,""W""),IF(L30&lt;0,((-100/L30))*10+L25,((L30/100)*10+L25)),-10+L25))"),"")</f>
        <v/>
      </c>
      <c r="M38" s="14"/>
      <c r="N38" s="16" t="s">
        <v>89</v>
      </c>
      <c r="O38" s="10" t="str">
        <f>IFERROR(__xludf.DUMMYFUNCTION("IF(AND(C38="""",AND(D38="""",AND(E38="""",AND(F38="""",AND(G38="""",AND(H38="""",AND(I38="""",AND(J38="""",AND(K38="""",L38=""""))))))))),"""",(IF(C33="""",0,IF(REGEXMATCH(C33,""W""),IF(C30&lt;0,((-100/C30))*10,((C30/100)*10)),-10))+IF(D33="""",0,IF(REGEXMAT"&amp;"CH(D33,""W""),IF(D30&lt;0,((-100/D30))*10,((D30/100)*10)),-10))+IF(E33="""",0,IF(REGEXMATCH(E33,""W""),IF(E30&lt;0,((-100/E30))*10,((E30/100)*10)),-10))+IF(F33="""",0,IF(REGEXMATCH(F33,""W""),IF(F30&lt;0,((-100/F30))*10,((F30/100)*10)),-10))+IF(G33="""",0,IF(REGEX"&amp;"MATCH(G33,""W""),IF(G30&lt;0,((-100/G30))*10,((G30/100)*10)),-10))+IF(H33="""",0,IF(REGEXMATCH(H33,""W""),IF(H30&lt;0,((-100/H30))*10,((H30/100)*10)),-10))+IF(I33="""",0,IF(REGEXMATCH(I33,""W""),IF(I30&lt;0,((-100/I30))*10,((I30/100)*10)),-10))+IF(J33="""",0,IF(RE"&amp;"GEXMATCH(J33,""W""),IF(J30&lt;0,((-100/J30))*10,((J30/100)*10)),-10))+IF(K33="""",0,IF(REGEXMATCH(K33,""W""),IF(K30&lt;0,((-100/K30))*10,((K30/100)*10)),-10))+IF(L33="""",0,IF(REGEXMATCH(L33,""W""),IF(L30&lt;0,((-100/L30))*10,((L30/100)*10)),-10))))"),"")</f>
        <v/>
      </c>
      <c r="P38" s="10" t="str">
        <f>IFERROR(__xludf.DUMMYFUNCTION("IF(AND(C38="""",AND(D38="""",AND(E38="""",AND(F38="""",AND(G38="""",AND(H38="""",AND(I38="""",AND(J38="""",AND(K38="""",L38=""""))))))))),"""",(P25+IF(C33="""",0,IF(REGEXMATCH(C33,""W""),IF(C30&lt;0,((-100/C30))*10,((C30/100)*10)),-10))+IF(D33="""",0,IF(REGE"&amp;"XMATCH(D33,""W""),IF(D30&lt;0,((-100/D30))*10,((D30/100)*10)),-10))+IF(E33="""",0,IF(REGEXMATCH(E33,""W""),IF(E30&lt;0,((-100/E30))*10,((E30/100)*10)),-10))+IF(F33="""",0,IF(REGEXMATCH(F33,""W""),IF(F30&lt;0,((-100/F30))*10,((F30/100)*10)),-10))+IF(G33="""",0,IF(R"&amp;"EGEXMATCH(G33,""W""),IF(G30&lt;0,((-100/G30))*10,((G30/100)*10)),-10))+IF(H33="""",0,IF(REGEXMATCH(H33,""W""),IF(H30&lt;0,((-100/H30))*10,((H30/100)*10)),-10))+IF(I33="""",0,IF(REGEXMATCH(I33,""W""),IF(I30&lt;0,((-100/I30))*10,((I30/100)*10)),-10))+IF(J33="""",0,I"&amp;"F(REGEXMATCH(J33,""W""),IF(J30&lt;0,((-100/J30))*10,((J30/100)*10)),-10))+IF(K33="""",0,IF(REGEXMATCH(K33,""W""),IF(K30&lt;0,((-100/K30))*10,((K30/100)*10)),-10))+IF(L33="""",0,IF(REGEXMATCH(L33,""W""),IF(L30&lt;0,((-100/L30))*10,((L30/100)*10)),-10))))"),"")</f>
        <v/>
      </c>
      <c r="Q38" s="4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>
      <c r="A40" s="1" t="s">
        <v>205</v>
      </c>
      <c r="B40" s="2"/>
      <c r="C40" s="3" t="s">
        <v>1</v>
      </c>
      <c r="D40" s="3" t="s">
        <v>2</v>
      </c>
      <c r="E40" s="3" t="s">
        <v>3</v>
      </c>
      <c r="F40" s="3" t="s">
        <v>4</v>
      </c>
      <c r="G40" s="3" t="s">
        <v>5</v>
      </c>
      <c r="H40" s="3" t="s">
        <v>6</v>
      </c>
      <c r="I40" s="3" t="s">
        <v>7</v>
      </c>
      <c r="J40" s="3" t="s">
        <v>8</v>
      </c>
      <c r="K40" s="3" t="s">
        <v>9</v>
      </c>
      <c r="L40" s="3" t="s">
        <v>10</v>
      </c>
      <c r="M40" s="2"/>
      <c r="N40" s="4"/>
      <c r="O40" s="3" t="s">
        <v>11</v>
      </c>
      <c r="P40" s="4"/>
      <c r="Q40" s="4"/>
    </row>
    <row r="41">
      <c r="A41" s="2"/>
      <c r="B41" s="2"/>
      <c r="C41" s="2"/>
      <c r="D41" s="2"/>
      <c r="E41" s="28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>
      <c r="A42" s="3" t="s">
        <v>12</v>
      </c>
      <c r="B42" s="2"/>
      <c r="C42" s="5"/>
      <c r="D42" s="5"/>
      <c r="E42" s="5"/>
      <c r="F42" s="5"/>
      <c r="G42" s="5"/>
      <c r="H42" s="5"/>
      <c r="I42" s="5"/>
      <c r="J42" s="5"/>
      <c r="K42" s="5"/>
      <c r="L42" s="5"/>
      <c r="M42" s="2"/>
      <c r="N42" s="3" t="s">
        <v>13</v>
      </c>
      <c r="O42" s="7" t="str">
        <f>IF(AND(C43="",AND(D43="",AND(E43="",AND(F43="",AND(G43="",AND(H43="",AND(I43="",AND(J43="",AND(K43="",L43=""))))))))),"",IF(((IF(C43="",1,IF(C43&gt;0,(C43/100)+1,(100/((-1)*C43))+1)))*(IF(D43="",1,IF(D43&gt;0,(D43/100)+1,(100/((-1)*D43))+1)))*(IF(E43="",1,IF(E43&gt;0,(E43/100)+1,(100/((-1)*E43))+1)))*(IF(F43="",1,IF(F43&gt;0,(F43/100)+1,(100/((-1)*F43))+1)))*(IF(G43="",1,IF(G43&gt;0,(G43/100)+1,(100/((-1)*G43))+1)))*(IF(H43="",1,IF(H43&gt;0,(H43/100)+1,(100/((-1)*H43))+1)))*(IF(I43="",1,IF(I43&gt;0,(I43/100)+1,(100/((-1)*I43))+1)))*(IF(J43="",1,IF(J43&gt;0,(J43/100)+1,(100/((-1)*J43))+1)))*(IF(K43="",1,IF(K43&gt;0,(K43/100)+1,(100/((-1)*K43))+1)))*(IF(L43="",1,IF(L43&gt;0,(L43/100)+1,(100/((-1)*L43))+1))))&lt;2,((-100)/(((IF(C43="",1,IF(C43&gt;0,(C43/100)+1,(100/((-1)*C43))+1)))*(IF(D43="",1,IF(D43&gt;0,(D43/100)+1,(100/((-1)*D43))+1)))*(IF(E43="",1,IF(E43&gt;0,(E43/100)+1,(100/((-1)*E43))+1)))*(IF(F43="",1,IF(F43&gt;0,(F43/100)+1,(100/((-1)*F43))+1)))*(IF(G43="",1,IF(G43&gt;0,(G43/100)+1,(100/((-1)*G43))+1)))*(IF(H43="",1,IF(H43&gt;0,(H43/100)+1,(100/((-1)*H43))+1)))*(IF(I43="",1,IF(I43&gt;0,(I43/100)+1,(100/((-1)*I43))+1)))*(IF(J43="",1,IF(J43&gt;0,(J43/100)+1,(100/((-1)*J43))+1)))*(IF(K43="",1,IF(K43&gt;0,(K43/100)+1,(100/((-1)*K43))+1)))*(IF(L43="",1,IF(L43&gt;0,(L43/100)+1,(100/((-1)*L43))+1))))-1)),((((IF(C43="",1,IF(C43&gt;0,(C43/100)+1,(100/((-1)*C43))+1)))*(IF(D43="",1,IF(D43&gt;0,(D43/100)+1,(100/((-1)*D43))+1)))*(IF(E43="",1,IF(E43&gt;0,(E43/100)+1,(100/((-1)*E43))+1)))*(IF(F43="",1,IF(F43&gt;0,(F43/100)+1,(100/((-1)*F43))+1)))*(IF(G43="",1,IF(G43&gt;0,(G43/100)+1,(100/((-1)*G43))+1)))*(IF(H43="",1,IF(H43&gt;0,(H43/100)+1,(100/((-1)*H43))+1)))*(IF(I43="",1,IF(I43&gt;0,(I43/100)+1,(100/((-1)*I43))+1)))*(IF(J43="",1,IF(J43&gt;0,(J43/100)+1,(100/((-1)*J43))+1)))*(IF(K43="",1,IF(K43&gt;0,(K43/100)+1,(100/((-1)*K43))+1)))*(IF(L43="",1,IF(L43&gt;0,(L43/100)+1,(100/((-1)*L43))+1))))-1)*(100))))</f>
        <v/>
      </c>
      <c r="P42" s="4"/>
      <c r="Q42" s="8" t="s">
        <v>35</v>
      </c>
    </row>
    <row r="43">
      <c r="A43" s="3" t="s">
        <v>13</v>
      </c>
      <c r="B43" s="2"/>
      <c r="C43" s="5"/>
      <c r="D43" s="5"/>
      <c r="E43" s="5"/>
      <c r="F43" s="5"/>
      <c r="G43" s="5"/>
      <c r="H43" s="5"/>
      <c r="I43" s="5"/>
      <c r="J43" s="5"/>
      <c r="K43" s="5"/>
      <c r="L43" s="5"/>
      <c r="M43" s="2">
        <v>3.0</v>
      </c>
      <c r="N43" s="3" t="s">
        <v>36</v>
      </c>
      <c r="O43" s="10" t="str">
        <f>IF(AND(C43="",AND(D43="",AND(E43="",AND(F43="",AND(G43="",AND(H43="",AND(I43="",AND(J43="",AND(K43="",L43=""))))))))),"",10+IF((IF(((IF(C43="",1,IF(C43&gt;0,(C43/100)+1,(100/((-1)*C43))+1)))*(IF(D43="",1,IF(D43&gt;0,(D43/100)+1,(100/((-1)*D43))+1)))*(IF(E43="",1,IF(E43&gt;0,(E43/100)+1,(100/((-1)*E43))+1)))*(IF(F43="",1,IF(F43&gt;0,(F43/100)+1,(100/((-1)*F43))+1)))*(IF(G43="",1,IF(G43&gt;0,(G43/100)+1,(100/((-1)*G43))+1)))*(IF(H43="",1,IF(H43&gt;0,(H43/100)+1,(100/((-1)*H43))+1)))*(IF(I43="",1,IF(I43&gt;0,(I43/100)+1,(100/((-1)*I43))+1)))*(IF(J43="",1,IF(J43&gt;0,(J43/100)+1,(100/((-1)*J43))+1)))*(IF(K43="",1,IF(K43&gt;0,(K43/100)+1,(100/((-1)*K43))+1)))*(IF(L43="",1,IF(L43&gt;0,(L43/100)+1,(100/((-1)*L43))+1))))&lt;2,((-100)/(((IF(C43="",1,IF(C43&gt;0,(C43/100)+1,(100/((-1)*C43))+1)))*(IF(D43="",1,IF(D43&gt;0,(D43/100)+1,(100/((-1)*D43))+1)))*(IF(E43="",1,IF(E43&gt;0,(E43/100)+1,(100/((-1)*E43))+1)))*(IF(F43="",1,IF(F43&gt;0,(F43/100)+1,(100/((-1)*F43))+1)))*(IF(G43="",1,IF(G43&gt;0,(G43/100)+1,(100/((-1)*G43))+1)))*(IF(H43="",1,IF(H43&gt;0,(H43/100)+1,(100/((-1)*H43))+1)))*(IF(I43="",1,IF(I43&gt;0,(I43/100)+1,(100/((-1)*I43))+1)))*(IF(J43="",1,IF(J43&gt;0,(J43/100)+1,(100/((-1)*J43))+1)))*(IF(K43="",1,IF(K43&gt;0,(K43/100)+1,(100/((-1)*K43))+1)))*(IF(L43="",1,IF(L43&gt;0,(L43/100)+1,(100/((-1)*L43))+1))))-1)),((((IF(C43="",1,IF(C43&gt;0,(C43/100)+1,(100/((-1)*C43))+1)))*(IF(D43="",1,IF(D43&gt;0,(D43/100)+1,(100/((-1)*D43))+1)))*(IF(E43="",1,IF(E43&gt;0,(E43/100)+1,(100/((-1)*E43))+1)))*(IF(F43="",1,IF(F43&gt;0,(F43/100)+1,(100/((-1)*F43))+1)))*(IF(G43="",1,IF(G43&gt;0,(G43/100)+1,(100/((-1)*G43))+1)))*(IF(H43="",1,IF(H43&gt;0,(H43/100)+1,(100/((-1)*H43))+1)))*(IF(I43="",1,IF(I43&gt;0,(I43/100)+1,(100/((-1)*I43))+1)))*(IF(J43="",1,IF(J43&gt;0,(J43/100)+1,(100/((-1)*J43))+1)))*(IF(K43="",1,IF(K43&gt;0,(K43/100)+1,(100/((-1)*K43))+1)))*(IF(L43="",1,IF(L43&gt;0,(L43/100)+1,(100/((-1)*L43))+1))))-1)*(100))))&lt;0,(((-100)/((IF(((IF(C43="",1,IF(C43&gt;0,(C43/100)+1,(100/((-1)*C43))+1)))*(IF(D43="",1,IF(D43&gt;0,(D43/100)+1,(100/((-1)*D43))+1)))*(IF(E43="",1,IF(E43&gt;0,(E43/100)+1,(100/((-1)*E43))+1)))*(IF(F43="",1,IF(F43&gt;0,(F43/100)+1,(100/((-1)*F43))+1)))*(IF(G43="",1,IF(G43&gt;0,(G43/100)+1,(100/((-1)*G43))+1)))*(IF(H43="",1,IF(H43&gt;0,(H43/100)+1,(100/((-1)*H43))+1)))*(IF(I43="",1,IF(I43&gt;0,(I43/100)+1,(100/((-1)*I43))+1)))*(IF(J43="",1,IF(J43&gt;0,(J43/100)+1,(100/((-1)*J43))+1)))*(IF(K43="",1,IF(K43&gt;0,(K43/100)+1,(100/((-1)*K43))+1)))*(IF(L43="",1,IF(L43&gt;0,(L43/100)+1,(100/((-1)*L43))+1))))&lt;2,((-100)/(((IF(C43="",1,IF(C43&gt;0,(C43/100)+1,(100/((-1)*C43))+1)))*(IF(D43="",1,IF(D43&gt;0,(D43/100)+1,(100/((-1)*D43))+1)))*(IF(E43="",1,IF(E43&gt;0,(E43/100)+1,(100/((-1)*E43))+1)))*(IF(F43="",1,IF(F43&gt;0,(F43/100)+1,(100/((-1)*F43))+1)))*(IF(G43="",1,IF(G43&gt;0,(G43/100)+1,(100/((-1)*G43))+1)))*(IF(H43="",1,IF(H43&gt;0,(H43/100)+1,(100/((-1)*H43))+1)))*(IF(I43="",1,IF(I43&gt;0,(I43/100)+1,(100/((-1)*I43))+1)))*(IF(J43="",1,IF(J43&gt;0,(J43/100)+1,(100/((-1)*J43))+1)))*(IF(K43="",1,IF(K43&gt;0,(K43/100)+1,(100/((-1)*K43))+1)))*(IF(L43="",1,IF(L43&gt;0,(L43/100)+1,(100/((-1)*L43))+1))))-1)),((((IF(C43="",1,IF(C43&gt;0,(C43/100)+1,(100/((-1)*C43))+1)))*(IF(D43="",1,IF(D43&gt;0,(D43/100)+1,(100/((-1)*D43))+1)))*(IF(E43="",1,IF(E43&gt;0,(E43/100)+1,(100/((-1)*E43))+1)))*(IF(F43="",1,IF(F43&gt;0,(F43/100)+1,(100/((-1)*F43))+1)))*(IF(G43="",1,IF(G43&gt;0,(G43/100)+1,(100/((-1)*G43))+1)))*(IF(H43="",1,IF(H43&gt;0,(H43/100)+1,(100/((-1)*H43))+1)))*(IF(I43="",1,IF(I43&gt;0,(I43/100)+1,(100/((-1)*I43))+1)))*(IF(J43="",1,IF(J43&gt;0,(J43/100)+1,(100/((-1)*J43))+1)))*(IF(K43="",1,IF(K43&gt;0,(K43/100)+1,(100/((-1)*K43))+1)))*(IF(L43="",1,IF(L43&gt;0,(L43/100)+1,(100/((-1)*L43))+1))))-1)*(100))))))*10),(((IF(((IF(C43="",1,IF(C43&gt;0,(C43/100)+1,(100/((-1)*C43))+1)))*(IF(D43="",1,IF(D43&gt;0,(D43/100)+1,(100/((-1)*D43))+1)))*(IF(E43="",1,IF(E43&gt;0,(E43/100)+1,(100/((-1)*E43))+1)))*(IF(F43="",1,IF(F43&gt;0,(F43/100)+1,(100/((-1)*F43))+1)))*(IF(G43="",1,IF(G43&gt;0,(G43/100)+1,(100/((-1)*G43))+1)))*(IF(H43="",1,IF(H43&gt;0,(H43/100)+1,(100/((-1)*H43))+1)))*(IF(I43="",1,IF(I43&gt;0,(I43/100)+1,(100/((-1)*I43))+1)))*(IF(J43="",1,IF(J43&gt;0,(J43/100)+1,(100/((-1)*J43))+1)))*(IF(K43="",1,IF(K43&gt;0,(K43/100)+1,(100/((-1)*K43))+1)))*(IF(L43="",1,IF(L43&gt;0,(L43/100)+1,(100/((-1)*L43))+1))))&lt;2,((-100)/(((IF(C43="",1,IF(C43&gt;0,(C43/100)+1,(100/((-1)*C43))+1)))*(IF(D43="",1,IF(D43&gt;0,(D43/100)+1,(100/((-1)*D43))+1)))*(IF(E43="",1,IF(E43&gt;0,(E43/100)+1,(100/((-1)*E43))+1)))*(IF(F43="",1,IF(F43&gt;0,(F43/100)+1,(100/((-1)*F43))+1)))*(IF(G43="",1,IF(G43&gt;0,(G43/100)+1,(100/((-1)*G43))+1)))*(IF(H43="",1,IF(H43&gt;0,(H43/100)+1,(100/((-1)*H43))+1)))*(IF(I43="",1,IF(I43&gt;0,(I43/100)+1,(100/((-1)*I43))+1)))*(IF(J43="",1,IF(J43&gt;0,(J43/100)+1,(100/((-1)*J43))+1)))*(IF(K43="",1,IF(K43&gt;0,(K43/100)+1,(100/((-1)*K43))+1)))*(IF(L43="",1,IF(L43&gt;0,(L43/100)+1,(100/((-1)*L43))+1))))-1)),((((IF(C43="",1,IF(C43&gt;0,(C43/100)+1,(100/((-1)*C43))+1)))*(IF(D43="",1,IF(D43&gt;0,(D43/100)+1,(100/((-1)*D43))+1)))*(IF(E43="",1,IF(E43&gt;0,(E43/100)+1,(100/((-1)*E43))+1)))*(IF(F43="",1,IF(F43&gt;0,(F43/100)+1,(100/((-1)*F43))+1)))*(IF(G43="",1,IF(G43&gt;0,(G43/100)+1,(100/((-1)*G43))+1)))*(IF(H43="",1,IF(H43&gt;0,(H43/100)+1,(100/((-1)*H43))+1)))*(IF(I43="",1,IF(I43&gt;0,(I43/100)+1,(100/((-1)*I43))+1)))*(IF(J43="",1,IF(J43&gt;0,(J43/100)+1,(100/((-1)*J43))+1)))*(IF(K43="",1,IF(K43&gt;0,(K43/100)+1,(100/((-1)*K43))+1)))*(IF(L43="",1,IF(L43&gt;0,(L43/100)+1,(100/((-1)*L43))+1))))-1)*(100))))/100)*10)))</f>
        <v/>
      </c>
      <c r="P43" s="4"/>
      <c r="Q43" s="4"/>
    </row>
    <row r="44">
      <c r="A44" s="3" t="s">
        <v>37</v>
      </c>
      <c r="B44" s="2"/>
      <c r="C44" s="5"/>
      <c r="D44" s="5"/>
      <c r="E44" s="5"/>
      <c r="F44" s="5"/>
      <c r="G44" s="5"/>
      <c r="H44" s="5"/>
      <c r="I44" s="5"/>
      <c r="J44" s="5"/>
      <c r="K44" s="5"/>
      <c r="L44" s="5"/>
      <c r="M44" s="2"/>
      <c r="N44" s="4"/>
      <c r="O44" s="4"/>
      <c r="P44" s="4"/>
      <c r="Q44" s="4"/>
    </row>
    <row r="45">
      <c r="A45" s="3" t="s">
        <v>48</v>
      </c>
      <c r="B45" s="2"/>
      <c r="C45" s="5"/>
      <c r="D45" s="5"/>
      <c r="E45" s="5"/>
      <c r="F45" s="5"/>
      <c r="G45" s="5"/>
      <c r="H45" s="5"/>
      <c r="I45" s="5"/>
      <c r="J45" s="5"/>
      <c r="K45" s="5"/>
      <c r="L45" s="5"/>
      <c r="M45" s="2"/>
      <c r="N45" s="4"/>
      <c r="O45" s="3" t="s">
        <v>56</v>
      </c>
      <c r="P45" s="3" t="s">
        <v>57</v>
      </c>
      <c r="Q45" s="4"/>
    </row>
    <row r="46">
      <c r="A46" s="3" t="s">
        <v>59</v>
      </c>
      <c r="B46" s="2"/>
      <c r="C46" s="5"/>
      <c r="D46" s="5"/>
      <c r="E46" s="5"/>
      <c r="F46" s="5"/>
      <c r="G46" s="5"/>
      <c r="H46" s="5"/>
      <c r="I46" s="5"/>
      <c r="J46" s="5"/>
      <c r="K46" s="5"/>
      <c r="L46" s="5"/>
      <c r="M46" s="2"/>
      <c r="N46" s="3" t="s">
        <v>65</v>
      </c>
      <c r="O46" s="12" t="str">
        <f>IFERROR(__xludf.DUMMYFUNCTION("IF(OR(COUNTA(C43:L43) = 0, COUNTA(C46:L46) = 0), """", IFERROR(TEXTJOIN("", "", TRUE, FILTER(C40:L40, (C46:L46 = ""W"") * (C43:L43 = MAX(FILTER(C43:L43, C46:L46 = ""W""))))), """"))"),"")</f>
        <v/>
      </c>
      <c r="P46" s="12" t="str">
        <f>IFERROR(__xludf.DUMMYFUNCTION("IF(COUNTA(C51:L51) = 0, """", IFERROR(TEXTJOIN("", "", TRUE, FILTER(C40:L40, C51:L51 = MAX(C51:L51))), """"))"),"")</f>
        <v/>
      </c>
      <c r="Q46" s="4"/>
    </row>
    <row r="47">
      <c r="A47" s="1" t="s">
        <v>81</v>
      </c>
      <c r="B47" s="2"/>
      <c r="C47" s="4" t="str">
        <f t="shared" ref="C47:L47" si="13">IF(OR(C43="",C46=""),"",C34+COUNTIF(C46,"W"))</f>
        <v/>
      </c>
      <c r="D47" s="4" t="str">
        <f t="shared" si="13"/>
        <v/>
      </c>
      <c r="E47" s="4" t="str">
        <f t="shared" si="13"/>
        <v/>
      </c>
      <c r="F47" s="4" t="str">
        <f t="shared" si="13"/>
        <v/>
      </c>
      <c r="G47" s="4" t="str">
        <f t="shared" si="13"/>
        <v/>
      </c>
      <c r="H47" s="4" t="str">
        <f t="shared" si="13"/>
        <v/>
      </c>
      <c r="I47" s="4" t="str">
        <f t="shared" si="13"/>
        <v/>
      </c>
      <c r="J47" s="4" t="str">
        <f t="shared" si="13"/>
        <v/>
      </c>
      <c r="K47" s="4" t="str">
        <f t="shared" si="13"/>
        <v/>
      </c>
      <c r="L47" s="4" t="str">
        <f t="shared" si="13"/>
        <v/>
      </c>
      <c r="M47" s="2"/>
      <c r="N47" s="3" t="s">
        <v>82</v>
      </c>
      <c r="O47" s="4" t="str">
        <f>IFERROR(__xludf.DUMMYFUNCTION("IF(OR(COUNTA(C43:L43) = 0, COUNTA(C46:L46) = 0), """", IFERROR(TEXTJOIN("", "", TRUE, FILTER(C40:L40, (C46:L46 = ""L"") * (C43:L43 = MIN(FILTER(C43:L43, C46:L46 = ""L""))))), """"))"),"")</f>
        <v/>
      </c>
      <c r="P47" s="12" t="str">
        <f>IFERROR(__xludf.DUMMYFUNCTION("IF(COUNTA(C51:L51) = 0, """", IFERROR(TEXTJOIN("", "", TRUE, FILTER(C40:L40, C51:L51 = MIN(C51:L51))), """"))"),"")</f>
        <v/>
      </c>
      <c r="Q47" s="4"/>
    </row>
    <row r="48">
      <c r="A48" s="1" t="s">
        <v>83</v>
      </c>
      <c r="B48" s="2"/>
      <c r="C48" s="27" t="str">
        <f t="shared" ref="C48:L48" si="14">IF(OR(C43="",C46=""),"",C35+COUNTIF(C46,"L"))</f>
        <v/>
      </c>
      <c r="D48" s="27" t="str">
        <f t="shared" si="14"/>
        <v/>
      </c>
      <c r="E48" s="27" t="str">
        <f t="shared" si="14"/>
        <v/>
      </c>
      <c r="F48" s="27" t="str">
        <f t="shared" si="14"/>
        <v/>
      </c>
      <c r="G48" s="27" t="str">
        <f t="shared" si="14"/>
        <v/>
      </c>
      <c r="H48" s="27" t="str">
        <f t="shared" si="14"/>
        <v/>
      </c>
      <c r="I48" s="27" t="str">
        <f t="shared" si="14"/>
        <v/>
      </c>
      <c r="J48" s="27" t="str">
        <f t="shared" si="14"/>
        <v/>
      </c>
      <c r="K48" s="27" t="str">
        <f t="shared" si="14"/>
        <v/>
      </c>
      <c r="L48" s="27" t="str">
        <f t="shared" si="14"/>
        <v/>
      </c>
      <c r="M48" s="2"/>
      <c r="N48" s="3" t="s">
        <v>84</v>
      </c>
      <c r="O48" s="12" t="str">
        <f>IFERROR(__xludf.DUMMYFUNCTION("IF(COUNTA(C43:L43) = 0, """", IFERROR(TEXTJOIN("", "", TRUE, FILTER(C40:L40, C43:L43 = MAX(C43:L43))), """"))"),"")</f>
        <v/>
      </c>
      <c r="P48" s="4" t="str">
        <f>IFERROR(__xludf.DUMMYFUNCTION("IF(COUNTA(C43:L43) = 0, """", IFERROR(TEXTJOIN("", "", TRUE, FILTER(C40:L40, C50:L50 = MAX(C50:L50))), """"))"),"")</f>
        <v/>
      </c>
      <c r="Q48" s="4"/>
    </row>
    <row r="49">
      <c r="A49" s="3" t="s">
        <v>85</v>
      </c>
      <c r="B49" s="2"/>
      <c r="C49" s="24" t="str">
        <f t="shared" ref="C49:L49" si="15">IF(OR(C43="",C46=""),"",(C47/(C47+C48)))</f>
        <v/>
      </c>
      <c r="D49" s="24" t="str">
        <f t="shared" si="15"/>
        <v/>
      </c>
      <c r="E49" s="24" t="str">
        <f t="shared" si="15"/>
        <v/>
      </c>
      <c r="F49" s="24" t="str">
        <f t="shared" si="15"/>
        <v/>
      </c>
      <c r="G49" s="24" t="str">
        <f t="shared" si="15"/>
        <v/>
      </c>
      <c r="H49" s="24" t="str">
        <f t="shared" si="15"/>
        <v/>
      </c>
      <c r="I49" s="24" t="str">
        <f t="shared" si="15"/>
        <v/>
      </c>
      <c r="J49" s="24" t="str">
        <f t="shared" si="15"/>
        <v/>
      </c>
      <c r="K49" s="24" t="str">
        <f t="shared" si="15"/>
        <v/>
      </c>
      <c r="L49" s="24" t="str">
        <f t="shared" si="15"/>
        <v/>
      </c>
      <c r="M49" s="14"/>
      <c r="N49" s="3" t="s">
        <v>86</v>
      </c>
      <c r="O49" s="4" t="str">
        <f>IFERROR(__xludf.DUMMYFUNCTION("IF(COUNTA(C43:L43) = 0, """", IFERROR(TEXTJOIN("", "", TRUE, FILTER(C40:L40, C43:L43 = MIN(C43:L43))), """"))"),"")</f>
        <v/>
      </c>
      <c r="P49" s="4" t="str">
        <f>IFERROR(__xludf.DUMMYFUNCTION("IF(COUNTA(C43:L43) = 0, """", IFERROR(TEXTJOIN("", "", TRUE, FILTER(C40:L40, C50:L50 = MIN(C50:L50))), """"))"),"")</f>
        <v/>
      </c>
      <c r="Q49" s="4"/>
    </row>
    <row r="50">
      <c r="A50" s="3" t="s">
        <v>87</v>
      </c>
      <c r="B50" s="2"/>
      <c r="C50" s="25" t="str">
        <f t="shared" ref="C50:L50" si="16">IF(C43="","",IF(((IF(C43 &lt;0,((-100/C43)+1),((C43/100)+1))+(IF(C37&lt;0,((-100/C37)+1),((C37/100)+1)))*(C34+C35))/(C34+C35+1))&lt;2,(-100/(((IF(C43 &lt;0,((-100/C43)+1),((C43/100)+1))+(IF(C37&lt;0,((-100/C37)+1),((C37/100)+1)))*(C34+C35))/(C34+C35+1))-1)),(((IF(C43 &lt;0,((-100/C43)+1),((C43/100)+1))+(IF(C37&lt;0,((-100/C37)+1),((C37/100)+1)))*(C34+C35))/(C34+C35+1))-1)*100))</f>
        <v/>
      </c>
      <c r="D50" s="25" t="str">
        <f t="shared" si="16"/>
        <v/>
      </c>
      <c r="E50" s="25" t="str">
        <f t="shared" si="16"/>
        <v/>
      </c>
      <c r="F50" s="25" t="str">
        <f t="shared" si="16"/>
        <v/>
      </c>
      <c r="G50" s="25" t="str">
        <f t="shared" si="16"/>
        <v/>
      </c>
      <c r="H50" s="25" t="str">
        <f t="shared" si="16"/>
        <v/>
      </c>
      <c r="I50" s="25" t="str">
        <f t="shared" si="16"/>
        <v/>
      </c>
      <c r="J50" s="25" t="str">
        <f t="shared" si="16"/>
        <v/>
      </c>
      <c r="K50" s="25" t="str">
        <f t="shared" si="16"/>
        <v/>
      </c>
      <c r="L50" s="25" t="str">
        <f t="shared" si="16"/>
        <v/>
      </c>
      <c r="M50" s="14"/>
      <c r="N50" s="4"/>
      <c r="O50" s="12"/>
      <c r="P50" s="12"/>
      <c r="Q50" s="4"/>
    </row>
    <row r="51">
      <c r="A51" s="16" t="s">
        <v>88</v>
      </c>
      <c r="B51" s="2"/>
      <c r="C51" s="26" t="str">
        <f>IFERROR(__xludf.DUMMYFUNCTION("IF(OR(C43="""",C46=""""),"""",IF(REGEXMATCH(C46,""W""),IF(C43&lt;0,((-100/C43))*10+C38,((C43/100)*10+C38)),-10+C38))"),"")</f>
        <v/>
      </c>
      <c r="D51" s="26" t="str">
        <f>IFERROR(__xludf.DUMMYFUNCTION("IF(OR(D43="""",D46=""""),"""",IF(REGEXMATCH(D46,""W""),IF(D43&lt;0,((-100/D43))*10+D38,((D43/100)*10+D38)),-10+D38))"),"")</f>
        <v/>
      </c>
      <c r="E51" s="26" t="str">
        <f>IFERROR(__xludf.DUMMYFUNCTION("IF(OR(E43="""",E46=""""),"""",IF(REGEXMATCH(E46,""W""),IF(E43&lt;0,((-100/E43))*10+E38,((E43/100)*10+E38)),-10+E38))"),"")</f>
        <v/>
      </c>
      <c r="F51" s="26" t="str">
        <f>IFERROR(__xludf.DUMMYFUNCTION("IF(OR(F43="""",F46=""""),"""",IF(REGEXMATCH(F46,""W""),IF(F43&lt;0,((-100/F43))*10+F38,((F43/100)*10+F38)),-10+F38))"),"")</f>
        <v/>
      </c>
      <c r="G51" s="26" t="str">
        <f>IFERROR(__xludf.DUMMYFUNCTION("IF(OR(G43="""",G46=""""),"""",IF(REGEXMATCH(G46,""W""),IF(G43&lt;0,((-100/G43))*10+G38,((G43/100)*10+G38)),-10+G38))"),"")</f>
        <v/>
      </c>
      <c r="H51" s="26" t="str">
        <f>IFERROR(__xludf.DUMMYFUNCTION("IF(OR(H43="""",H46=""""),"""",IF(REGEXMATCH(H46,""W""),IF(H43&lt;0,((-100/H43))*10+H38,((H43/100)*10+H38)),-10+H38))"),"")</f>
        <v/>
      </c>
      <c r="I51" s="26" t="str">
        <f>IFERROR(__xludf.DUMMYFUNCTION("IF(OR(I43="""",I46=""""),"""",IF(REGEXMATCH(I46,""W""),IF(I43&lt;0,((-100/I43))*10+I38,((I43/100)*10+I38)),-10+I38))"),"")</f>
        <v/>
      </c>
      <c r="J51" s="26" t="str">
        <f>IFERROR(__xludf.DUMMYFUNCTION("IF(OR(J43="""",J46=""""),"""",IF(REGEXMATCH(J46,""W""),IF(J43&lt;0,((-100/J43))*10+J38,((J43/100)*10+J38)),-10+J38))"),"")</f>
        <v/>
      </c>
      <c r="K51" s="26" t="str">
        <f>IFERROR(__xludf.DUMMYFUNCTION("IF(OR(K43="""",K46=""""),"""",IF(REGEXMATCH(K46,""W""),IF(K43&lt;0,((-100/K43))*10+K38,((K43/100)*10+K38)),-10+K38))"),"")</f>
        <v/>
      </c>
      <c r="L51" s="26" t="str">
        <f>IFERROR(__xludf.DUMMYFUNCTION("IF(OR(L43="""",L46=""""),"""",IF(REGEXMATCH(L46,""W""),IF(L43&lt;0,((-100/L43))*10+L38,((L43/100)*10+L38)),-10+L38))"),"")</f>
        <v/>
      </c>
      <c r="M51" s="14"/>
      <c r="N51" s="16" t="s">
        <v>89</v>
      </c>
      <c r="O51" s="10" t="str">
        <f>IFERROR(__xludf.DUMMYFUNCTION("IF(AND(C51="""",AND(D51="""",AND(E51="""",AND(F51="""",AND(G51="""",AND(H51="""",AND(I51="""",AND(J51="""",AND(K51="""",L51=""""))))))))),"""",(IF(C46="""",0,IF(REGEXMATCH(C46,""W""),IF(C43&lt;0,((-100/C43))*10,((C43/100)*10)),-10))+IF(D46="""",0,IF(REGEXMAT"&amp;"CH(D46,""W""),IF(D43&lt;0,((-100/D43))*10,((D43/100)*10)),-10))+IF(E46="""",0,IF(REGEXMATCH(E46,""W""),IF(E43&lt;0,((-100/E43))*10,((E43/100)*10)),-10))+IF(F46="""",0,IF(REGEXMATCH(F46,""W""),IF(F43&lt;0,((-100/F43))*10,((F43/100)*10)),-10))+IF(G46="""",0,IF(REGEX"&amp;"MATCH(G46,""W""),IF(G43&lt;0,((-100/G43))*10,((G43/100)*10)),-10))+IF(H46="""",0,IF(REGEXMATCH(H46,""W""),IF(H43&lt;0,((-100/H43))*10,((H43/100)*10)),-10))+IF(I46="""",0,IF(REGEXMATCH(I46,""W""),IF(I43&lt;0,((-100/I43))*10,((I43/100)*10)),-10))+IF(J46="""",0,IF(RE"&amp;"GEXMATCH(J46,""W""),IF(J43&lt;0,((-100/J43))*10,((J43/100)*10)),-10))+IF(K46="""",0,IF(REGEXMATCH(K46,""W""),IF(K43&lt;0,((-100/K43))*10,((K43/100)*10)),-10))+IF(L46="""",0,IF(REGEXMATCH(L46,""W""),IF(L43&lt;0,((-100/L43))*10,((L43/100)*10)),-10))))"),"")</f>
        <v/>
      </c>
      <c r="P51" s="10" t="str">
        <f>IFERROR(__xludf.DUMMYFUNCTION("IF(AND(C51="""",AND(D51="""",AND(E51="""",AND(F51="""",AND(G51="""",AND(H51="""",AND(I51="""",AND(J51="""",AND(K51="""",L51=""""))))))))),"""",(P38+IF(C46="""",0,IF(REGEXMATCH(C46,""W""),IF(C43&lt;0,((-100/C43))*10,((C43/100)*10)),-10))+IF(D46="""",0,IF(REGE"&amp;"XMATCH(D46,""W""),IF(D43&lt;0,((-100/D43))*10,((D43/100)*10)),-10))+IF(E46="""",0,IF(REGEXMATCH(E46,""W""),IF(E43&lt;0,((-100/E43))*10,((E43/100)*10)),-10))+IF(F46="""",0,IF(REGEXMATCH(F46,""W""),IF(F43&lt;0,((-100/F43))*10,((F43/100)*10)),-10))+IF(G46="""",0,IF(R"&amp;"EGEXMATCH(G46,""W""),IF(G43&lt;0,((-100/G43))*10,((G43/100)*10)),-10))+IF(H46="""",0,IF(REGEXMATCH(H46,""W""),IF(H43&lt;0,((-100/H43))*10,((H43/100)*10)),-10))+IF(I46="""",0,IF(REGEXMATCH(I46,""W""),IF(I43&lt;0,((-100/I43))*10,((I43/100)*10)),-10))+IF(J46="""",0,I"&amp;"F(REGEXMATCH(J46,""W""),IF(J43&lt;0,((-100/J43))*10,((J43/100)*10)),-10))+IF(K46="""",0,IF(REGEXMATCH(K46,""W""),IF(K43&lt;0,((-100/K43))*10,((K43/100)*10)),-10))+IF(L46="""",0,IF(REGEXMATCH(L46,""W""),IF(L43&lt;0,((-100/L43))*10,((L43/100)*10)),-10))))"),"")</f>
        <v/>
      </c>
      <c r="Q51" s="4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>
      <c r="A53" s="1" t="s">
        <v>246</v>
      </c>
      <c r="B53" s="2"/>
      <c r="C53" s="3" t="s">
        <v>1</v>
      </c>
      <c r="D53" s="3" t="s">
        <v>2</v>
      </c>
      <c r="E53" s="3" t="s">
        <v>3</v>
      </c>
      <c r="F53" s="3" t="s">
        <v>4</v>
      </c>
      <c r="G53" s="3" t="s">
        <v>5</v>
      </c>
      <c r="H53" s="3" t="s">
        <v>6</v>
      </c>
      <c r="I53" s="3" t="s">
        <v>7</v>
      </c>
      <c r="J53" s="3" t="s">
        <v>8</v>
      </c>
      <c r="K53" s="3" t="s">
        <v>9</v>
      </c>
      <c r="L53" s="3" t="s">
        <v>10</v>
      </c>
      <c r="M53" s="2"/>
      <c r="N53" s="4"/>
      <c r="O53" s="3" t="s">
        <v>11</v>
      </c>
      <c r="P53" s="4"/>
      <c r="Q53" s="4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>
      <c r="A55" s="3" t="s">
        <v>12</v>
      </c>
      <c r="B55" s="2"/>
      <c r="C55" s="5"/>
      <c r="D55" s="5"/>
      <c r="E55" s="5"/>
      <c r="F55" s="5"/>
      <c r="G55" s="5"/>
      <c r="H55" s="5"/>
      <c r="I55" s="5"/>
      <c r="J55" s="5"/>
      <c r="K55" s="5"/>
      <c r="L55" s="5"/>
      <c r="M55" s="2"/>
      <c r="N55" s="3" t="s">
        <v>13</v>
      </c>
      <c r="O55" s="7" t="str">
        <f>IF(AND(C56="",AND(D56="",AND(E56="",AND(F56="",AND(G56="",AND(H56="",AND(I56="",AND(J56="",AND(K56="",L56=""))))))))),"",IF(((IF(C56="",1,IF(C56&gt;0,(C56/100)+1,(100/((-1)*C56))+1)))*(IF(D56="",1,IF(D56&gt;0,(D56/100)+1,(100/((-1)*D56))+1)))*(IF(E56="",1,IF(E56&gt;0,(E56/100)+1,(100/((-1)*E56))+1)))*(IF(F56="",1,IF(F56&gt;0,(F56/100)+1,(100/((-1)*F56))+1)))*(IF(G56="",1,IF(G56&gt;0,(G56/100)+1,(100/((-1)*G56))+1)))*(IF(H56="",1,IF(H56&gt;0,(H56/100)+1,(100/((-1)*H56))+1)))*(IF(I56="",1,IF(I56&gt;0,(I56/100)+1,(100/((-1)*I56))+1)))*(IF(J56="",1,IF(J56&gt;0,(J56/100)+1,(100/((-1)*J56))+1)))*(IF(K56="",1,IF(K56&gt;0,(K56/100)+1,(100/((-1)*K56))+1)))*(IF(L56="",1,IF(L56&gt;0,(L56/100)+1,(100/((-1)*L56))+1))))&lt;2,((-100)/(((IF(C56="",1,IF(C56&gt;0,(C56/100)+1,(100/((-1)*C56))+1)))*(IF(D56="",1,IF(D56&gt;0,(D56/100)+1,(100/((-1)*D56))+1)))*(IF(E56="",1,IF(E56&gt;0,(E56/100)+1,(100/((-1)*E56))+1)))*(IF(F56="",1,IF(F56&gt;0,(F56/100)+1,(100/((-1)*F56))+1)))*(IF(G56="",1,IF(G56&gt;0,(G56/100)+1,(100/((-1)*G56))+1)))*(IF(H56="",1,IF(H56&gt;0,(H56/100)+1,(100/((-1)*H56))+1)))*(IF(I56="",1,IF(I56&gt;0,(I56/100)+1,(100/((-1)*I56))+1)))*(IF(J56="",1,IF(J56&gt;0,(J56/100)+1,(100/((-1)*J56))+1)))*(IF(K56="",1,IF(K56&gt;0,(K56/100)+1,(100/((-1)*K56))+1)))*(IF(L56="",1,IF(L56&gt;0,(L56/100)+1,(100/((-1)*L56))+1))))-1)),((((IF(C56="",1,IF(C56&gt;0,(C56/100)+1,(100/((-1)*C56))+1)))*(IF(D56="",1,IF(D56&gt;0,(D56/100)+1,(100/((-1)*D56))+1)))*(IF(E56="",1,IF(E56&gt;0,(E56/100)+1,(100/((-1)*E56))+1)))*(IF(F56="",1,IF(F56&gt;0,(F56/100)+1,(100/((-1)*F56))+1)))*(IF(G56="",1,IF(G56&gt;0,(G56/100)+1,(100/((-1)*G56))+1)))*(IF(H56="",1,IF(H56&gt;0,(H56/100)+1,(100/((-1)*H56))+1)))*(IF(I56="",1,IF(I56&gt;0,(I56/100)+1,(100/((-1)*I56))+1)))*(IF(J56="",1,IF(J56&gt;0,(J56/100)+1,(100/((-1)*J56))+1)))*(IF(K56="",1,IF(K56&gt;0,(K56/100)+1,(100/((-1)*K56))+1)))*(IF(L56="",1,IF(L56&gt;0,(L56/100)+1,(100/((-1)*L56))+1))))-1)*(100))))</f>
        <v/>
      </c>
      <c r="P55" s="4"/>
      <c r="Q55" s="8" t="s">
        <v>35</v>
      </c>
    </row>
    <row r="56">
      <c r="A56" s="3" t="s">
        <v>13</v>
      </c>
      <c r="B56" s="2"/>
      <c r="C56" s="5"/>
      <c r="D56" s="5"/>
      <c r="E56" s="5"/>
      <c r="F56" s="5"/>
      <c r="G56" s="5"/>
      <c r="H56" s="5"/>
      <c r="I56" s="5"/>
      <c r="J56" s="5"/>
      <c r="K56" s="5"/>
      <c r="L56" s="5"/>
      <c r="M56" s="2">
        <v>4.0</v>
      </c>
      <c r="N56" s="3" t="s">
        <v>36</v>
      </c>
      <c r="O56" s="10" t="str">
        <f>IF(AND(C56="",AND(D56="",AND(E56="",AND(F56="",AND(G56="",AND(H56="",AND(I56="",AND(J56="",AND(K56="",L56=""))))))))),"",10+IF((IF(((IF(C56="",1,IF(C56&gt;0,(C56/100)+1,(100/((-1)*C56))+1)))*(IF(D56="",1,IF(D56&gt;0,(D56/100)+1,(100/((-1)*D56))+1)))*(IF(E56="",1,IF(E56&gt;0,(E56/100)+1,(100/((-1)*E56))+1)))*(IF(F56="",1,IF(F56&gt;0,(F56/100)+1,(100/((-1)*F56))+1)))*(IF(G56="",1,IF(G56&gt;0,(G56/100)+1,(100/((-1)*G56))+1)))*(IF(H56="",1,IF(H56&gt;0,(H56/100)+1,(100/((-1)*H56))+1)))*(IF(I56="",1,IF(I56&gt;0,(I56/100)+1,(100/((-1)*I56))+1)))*(IF(J56="",1,IF(J56&gt;0,(J56/100)+1,(100/((-1)*J56))+1)))*(IF(K56="",1,IF(K56&gt;0,(K56/100)+1,(100/((-1)*K56))+1)))*(IF(L56="",1,IF(L56&gt;0,(L56/100)+1,(100/((-1)*L56))+1))))&lt;2,((-100)/(((IF(C56="",1,IF(C56&gt;0,(C56/100)+1,(100/((-1)*C56))+1)))*(IF(D56="",1,IF(D56&gt;0,(D56/100)+1,(100/((-1)*D56))+1)))*(IF(E56="",1,IF(E56&gt;0,(E56/100)+1,(100/((-1)*E56))+1)))*(IF(F56="",1,IF(F56&gt;0,(F56/100)+1,(100/((-1)*F56))+1)))*(IF(G56="",1,IF(G56&gt;0,(G56/100)+1,(100/((-1)*G56))+1)))*(IF(H56="",1,IF(H56&gt;0,(H56/100)+1,(100/((-1)*H56))+1)))*(IF(I56="",1,IF(I56&gt;0,(I56/100)+1,(100/((-1)*I56))+1)))*(IF(J56="",1,IF(J56&gt;0,(J56/100)+1,(100/((-1)*J56))+1)))*(IF(K56="",1,IF(K56&gt;0,(K56/100)+1,(100/((-1)*K56))+1)))*(IF(L56="",1,IF(L56&gt;0,(L56/100)+1,(100/((-1)*L56))+1))))-1)),((((IF(C56="",1,IF(C56&gt;0,(C56/100)+1,(100/((-1)*C56))+1)))*(IF(D56="",1,IF(D56&gt;0,(D56/100)+1,(100/((-1)*D56))+1)))*(IF(E56="",1,IF(E56&gt;0,(E56/100)+1,(100/((-1)*E56))+1)))*(IF(F56="",1,IF(F56&gt;0,(F56/100)+1,(100/((-1)*F56))+1)))*(IF(G56="",1,IF(G56&gt;0,(G56/100)+1,(100/((-1)*G56))+1)))*(IF(H56="",1,IF(H56&gt;0,(H56/100)+1,(100/((-1)*H56))+1)))*(IF(I56="",1,IF(I56&gt;0,(I56/100)+1,(100/((-1)*I56))+1)))*(IF(J56="",1,IF(J56&gt;0,(J56/100)+1,(100/((-1)*J56))+1)))*(IF(K56="",1,IF(K56&gt;0,(K56/100)+1,(100/((-1)*K56))+1)))*(IF(L56="",1,IF(L56&gt;0,(L56/100)+1,(100/((-1)*L56))+1))))-1)*(100))))&lt;0,(((-100)/((IF(((IF(C56="",1,IF(C56&gt;0,(C56/100)+1,(100/((-1)*C56))+1)))*(IF(D56="",1,IF(D56&gt;0,(D56/100)+1,(100/((-1)*D56))+1)))*(IF(E56="",1,IF(E56&gt;0,(E56/100)+1,(100/((-1)*E56))+1)))*(IF(F56="",1,IF(F56&gt;0,(F56/100)+1,(100/((-1)*F56))+1)))*(IF(G56="",1,IF(G56&gt;0,(G56/100)+1,(100/((-1)*G56))+1)))*(IF(H56="",1,IF(H56&gt;0,(H56/100)+1,(100/((-1)*H56))+1)))*(IF(I56="",1,IF(I56&gt;0,(I56/100)+1,(100/((-1)*I56))+1)))*(IF(J56="",1,IF(J56&gt;0,(J56/100)+1,(100/((-1)*J56))+1)))*(IF(K56="",1,IF(K56&gt;0,(K56/100)+1,(100/((-1)*K56))+1)))*(IF(L56="",1,IF(L56&gt;0,(L56/100)+1,(100/((-1)*L56))+1))))&lt;2,((-100)/(((IF(C56="",1,IF(C56&gt;0,(C56/100)+1,(100/((-1)*C56))+1)))*(IF(D56="",1,IF(D56&gt;0,(D56/100)+1,(100/((-1)*D56))+1)))*(IF(E56="",1,IF(E56&gt;0,(E56/100)+1,(100/((-1)*E56))+1)))*(IF(F56="",1,IF(F56&gt;0,(F56/100)+1,(100/((-1)*F56))+1)))*(IF(G56="",1,IF(G56&gt;0,(G56/100)+1,(100/((-1)*G56))+1)))*(IF(H56="",1,IF(H56&gt;0,(H56/100)+1,(100/((-1)*H56))+1)))*(IF(I56="",1,IF(I56&gt;0,(I56/100)+1,(100/((-1)*I56))+1)))*(IF(J56="",1,IF(J56&gt;0,(J56/100)+1,(100/((-1)*J56))+1)))*(IF(K56="",1,IF(K56&gt;0,(K56/100)+1,(100/((-1)*K56))+1)))*(IF(L56="",1,IF(L56&gt;0,(L56/100)+1,(100/((-1)*L56))+1))))-1)),((((IF(C56="",1,IF(C56&gt;0,(C56/100)+1,(100/((-1)*C56))+1)))*(IF(D56="",1,IF(D56&gt;0,(D56/100)+1,(100/((-1)*D56))+1)))*(IF(E56="",1,IF(E56&gt;0,(E56/100)+1,(100/((-1)*E56))+1)))*(IF(F56="",1,IF(F56&gt;0,(F56/100)+1,(100/((-1)*F56))+1)))*(IF(G56="",1,IF(G56&gt;0,(G56/100)+1,(100/((-1)*G56))+1)))*(IF(H56="",1,IF(H56&gt;0,(H56/100)+1,(100/((-1)*H56))+1)))*(IF(I56="",1,IF(I56&gt;0,(I56/100)+1,(100/((-1)*I56))+1)))*(IF(J56="",1,IF(J56&gt;0,(J56/100)+1,(100/((-1)*J56))+1)))*(IF(K56="",1,IF(K56&gt;0,(K56/100)+1,(100/((-1)*K56))+1)))*(IF(L56="",1,IF(L56&gt;0,(L56/100)+1,(100/((-1)*L56))+1))))-1)*(100))))))*10),(((IF(((IF(C56="",1,IF(C56&gt;0,(C56/100)+1,(100/((-1)*C56))+1)))*(IF(D56="",1,IF(D56&gt;0,(D56/100)+1,(100/((-1)*D56))+1)))*(IF(E56="",1,IF(E56&gt;0,(E56/100)+1,(100/((-1)*E56))+1)))*(IF(F56="",1,IF(F56&gt;0,(F56/100)+1,(100/((-1)*F56))+1)))*(IF(G56="",1,IF(G56&gt;0,(G56/100)+1,(100/((-1)*G56))+1)))*(IF(H56="",1,IF(H56&gt;0,(H56/100)+1,(100/((-1)*H56))+1)))*(IF(I56="",1,IF(I56&gt;0,(I56/100)+1,(100/((-1)*I56))+1)))*(IF(J56="",1,IF(J56&gt;0,(J56/100)+1,(100/((-1)*J56))+1)))*(IF(K56="",1,IF(K56&gt;0,(K56/100)+1,(100/((-1)*K56))+1)))*(IF(L56="",1,IF(L56&gt;0,(L56/100)+1,(100/((-1)*L56))+1))))&lt;2,((-100)/(((IF(C56="",1,IF(C56&gt;0,(C56/100)+1,(100/((-1)*C56))+1)))*(IF(D56="",1,IF(D56&gt;0,(D56/100)+1,(100/((-1)*D56))+1)))*(IF(E56="",1,IF(E56&gt;0,(E56/100)+1,(100/((-1)*E56))+1)))*(IF(F56="",1,IF(F56&gt;0,(F56/100)+1,(100/((-1)*F56))+1)))*(IF(G56="",1,IF(G56&gt;0,(G56/100)+1,(100/((-1)*G56))+1)))*(IF(H56="",1,IF(H56&gt;0,(H56/100)+1,(100/((-1)*H56))+1)))*(IF(I56="",1,IF(I56&gt;0,(I56/100)+1,(100/((-1)*I56))+1)))*(IF(J56="",1,IF(J56&gt;0,(J56/100)+1,(100/((-1)*J56))+1)))*(IF(K56="",1,IF(K56&gt;0,(K56/100)+1,(100/((-1)*K56))+1)))*(IF(L56="",1,IF(L56&gt;0,(L56/100)+1,(100/((-1)*L56))+1))))-1)),((((IF(C56="",1,IF(C56&gt;0,(C56/100)+1,(100/((-1)*C56))+1)))*(IF(D56="",1,IF(D56&gt;0,(D56/100)+1,(100/((-1)*D56))+1)))*(IF(E56="",1,IF(E56&gt;0,(E56/100)+1,(100/((-1)*E56))+1)))*(IF(F56="",1,IF(F56&gt;0,(F56/100)+1,(100/((-1)*F56))+1)))*(IF(G56="",1,IF(G56&gt;0,(G56/100)+1,(100/((-1)*G56))+1)))*(IF(H56="",1,IF(H56&gt;0,(H56/100)+1,(100/((-1)*H56))+1)))*(IF(I56="",1,IF(I56&gt;0,(I56/100)+1,(100/((-1)*I56))+1)))*(IF(J56="",1,IF(J56&gt;0,(J56/100)+1,(100/((-1)*J56))+1)))*(IF(K56="",1,IF(K56&gt;0,(K56/100)+1,(100/((-1)*K56))+1)))*(IF(L56="",1,IF(L56&gt;0,(L56/100)+1,(100/((-1)*L56))+1))))-1)*(100))))/100)*10)))</f>
        <v/>
      </c>
      <c r="P56" s="4"/>
      <c r="Q56" s="4"/>
    </row>
    <row r="57">
      <c r="A57" s="3" t="s">
        <v>37</v>
      </c>
      <c r="B57" s="2"/>
      <c r="C57" s="5"/>
      <c r="D57" s="5"/>
      <c r="E57" s="5"/>
      <c r="F57" s="5"/>
      <c r="G57" s="5"/>
      <c r="H57" s="5"/>
      <c r="I57" s="5"/>
      <c r="J57" s="5"/>
      <c r="K57" s="5"/>
      <c r="L57" s="5"/>
      <c r="M57" s="2"/>
      <c r="N57" s="4"/>
      <c r="O57" s="4"/>
      <c r="P57" s="4"/>
      <c r="Q57" s="4"/>
    </row>
    <row r="58">
      <c r="A58" s="3" t="s">
        <v>48</v>
      </c>
      <c r="B58" s="2"/>
      <c r="C58" s="5"/>
      <c r="D58" s="5"/>
      <c r="E58" s="5"/>
      <c r="F58" s="5"/>
      <c r="G58" s="5"/>
      <c r="H58" s="5"/>
      <c r="I58" s="5"/>
      <c r="J58" s="5"/>
      <c r="K58" s="5"/>
      <c r="L58" s="5"/>
      <c r="M58" s="2"/>
      <c r="N58" s="4"/>
      <c r="O58" s="3" t="s">
        <v>56</v>
      </c>
      <c r="P58" s="3" t="s">
        <v>57</v>
      </c>
      <c r="Q58" s="4"/>
    </row>
    <row r="59">
      <c r="A59" s="3" t="s">
        <v>59</v>
      </c>
      <c r="B59" s="2"/>
      <c r="C59" s="5"/>
      <c r="D59" s="5"/>
      <c r="E59" s="5"/>
      <c r="F59" s="5"/>
      <c r="G59" s="5"/>
      <c r="H59" s="5"/>
      <c r="I59" s="5"/>
      <c r="J59" s="5"/>
      <c r="K59" s="5"/>
      <c r="L59" s="5"/>
      <c r="M59" s="2"/>
      <c r="N59" s="3" t="s">
        <v>65</v>
      </c>
      <c r="O59" s="12" t="str">
        <f>IFERROR(__xludf.DUMMYFUNCTION("IF(OR(COUNTA(C56:L56) = 0, COUNTA(C59:L59) = 0), """", IFERROR(TEXTJOIN("", "", TRUE, FILTER(C53:L53, (C59:L59 = ""W"") * (C56:L56 = MAX(FILTER(C56:L56, C59:L59 = ""W""))))), """"))"),"")</f>
        <v/>
      </c>
      <c r="P59" s="12" t="str">
        <f>IFERROR(__xludf.DUMMYFUNCTION("IF(COUNTA(C64:L64) = 0, """", IFERROR(TEXTJOIN("", "", TRUE, FILTER(C53:L53, C64:L64 = MAX(C64:L64))), """"))"),"")</f>
        <v/>
      </c>
      <c r="Q59" s="4"/>
    </row>
    <row r="60">
      <c r="A60" s="1" t="s">
        <v>81</v>
      </c>
      <c r="B60" s="2"/>
      <c r="C60" s="4" t="str">
        <f t="shared" ref="C60:L60" si="17">IF(OR(C56="",C59=""),"",C47+COUNTIF(C59,"W"))</f>
        <v/>
      </c>
      <c r="D60" s="4" t="str">
        <f t="shared" si="17"/>
        <v/>
      </c>
      <c r="E60" s="4" t="str">
        <f t="shared" si="17"/>
        <v/>
      </c>
      <c r="F60" s="4" t="str">
        <f t="shared" si="17"/>
        <v/>
      </c>
      <c r="G60" s="4" t="str">
        <f t="shared" si="17"/>
        <v/>
      </c>
      <c r="H60" s="4" t="str">
        <f t="shared" si="17"/>
        <v/>
      </c>
      <c r="I60" s="4" t="str">
        <f t="shared" si="17"/>
        <v/>
      </c>
      <c r="J60" s="4" t="str">
        <f t="shared" si="17"/>
        <v/>
      </c>
      <c r="K60" s="4" t="str">
        <f t="shared" si="17"/>
        <v/>
      </c>
      <c r="L60" s="4" t="str">
        <f t="shared" si="17"/>
        <v/>
      </c>
      <c r="M60" s="2"/>
      <c r="N60" s="3" t="s">
        <v>82</v>
      </c>
      <c r="O60" s="4" t="str">
        <f>IFERROR(__xludf.DUMMYFUNCTION("IF(OR(COUNTA(C56:L56) = 0, COUNTA(C59:L59) = 0), """", IFERROR(TEXTJOIN("", "", TRUE, FILTER(C53:L53, (C59:L59 = ""L"") * (C56:L56 = MIN(FILTER(C56:L56, C59:L59 = ""L""))))), """"))"),"")</f>
        <v/>
      </c>
      <c r="P60" s="12" t="str">
        <f>IFERROR(__xludf.DUMMYFUNCTION("IF(COUNTA(C64:L64) = 0, """", IFERROR(TEXTJOIN("", "", TRUE, FILTER(C53:L53, C64:L64 = MIN(C64:L64))), """"))"),"")</f>
        <v/>
      </c>
      <c r="Q60" s="4"/>
    </row>
    <row r="61">
      <c r="A61" s="1" t="s">
        <v>83</v>
      </c>
      <c r="B61" s="2"/>
      <c r="C61" s="27" t="str">
        <f t="shared" ref="C61:L61" si="18">IF(OR(C56="",C59=""),"",C48+COUNTIF(C59,"L"))</f>
        <v/>
      </c>
      <c r="D61" s="27" t="str">
        <f t="shared" si="18"/>
        <v/>
      </c>
      <c r="E61" s="27" t="str">
        <f t="shared" si="18"/>
        <v/>
      </c>
      <c r="F61" s="27" t="str">
        <f t="shared" si="18"/>
        <v/>
      </c>
      <c r="G61" s="27" t="str">
        <f t="shared" si="18"/>
        <v/>
      </c>
      <c r="H61" s="27" t="str">
        <f t="shared" si="18"/>
        <v/>
      </c>
      <c r="I61" s="27" t="str">
        <f t="shared" si="18"/>
        <v/>
      </c>
      <c r="J61" s="27" t="str">
        <f t="shared" si="18"/>
        <v/>
      </c>
      <c r="K61" s="27" t="str">
        <f t="shared" si="18"/>
        <v/>
      </c>
      <c r="L61" s="27" t="str">
        <f t="shared" si="18"/>
        <v/>
      </c>
      <c r="M61" s="2"/>
      <c r="N61" s="3" t="s">
        <v>84</v>
      </c>
      <c r="O61" s="12" t="str">
        <f>IFERROR(__xludf.DUMMYFUNCTION("IF(COUNTA(C56:L56) = 0, """", IFERROR(TEXTJOIN("", "", TRUE, FILTER(C53:L53, C56:L56 = MAX(C56:L56))), """"))"),"")</f>
        <v/>
      </c>
      <c r="P61" s="4" t="str">
        <f>IFERROR(__xludf.DUMMYFUNCTION("IF(COUNTA(C56:L56) = 0, """", IFERROR(TEXTJOIN("", "", TRUE, FILTER(C53:L53, C63:L63 = MAX(C63:L63))), """"))"),"")</f>
        <v/>
      </c>
      <c r="Q61" s="4"/>
    </row>
    <row r="62">
      <c r="A62" s="3" t="s">
        <v>85</v>
      </c>
      <c r="B62" s="2"/>
      <c r="C62" s="24" t="str">
        <f t="shared" ref="C62:L62" si="19">IF(OR(C56="",C59=""),"",(C60/(C60+C61)))</f>
        <v/>
      </c>
      <c r="D62" s="24" t="str">
        <f t="shared" si="19"/>
        <v/>
      </c>
      <c r="E62" s="24" t="str">
        <f t="shared" si="19"/>
        <v/>
      </c>
      <c r="F62" s="24" t="str">
        <f t="shared" si="19"/>
        <v/>
      </c>
      <c r="G62" s="24" t="str">
        <f t="shared" si="19"/>
        <v/>
      </c>
      <c r="H62" s="24" t="str">
        <f t="shared" si="19"/>
        <v/>
      </c>
      <c r="I62" s="24" t="str">
        <f t="shared" si="19"/>
        <v/>
      </c>
      <c r="J62" s="24" t="str">
        <f t="shared" si="19"/>
        <v/>
      </c>
      <c r="K62" s="24" t="str">
        <f t="shared" si="19"/>
        <v/>
      </c>
      <c r="L62" s="24" t="str">
        <f t="shared" si="19"/>
        <v/>
      </c>
      <c r="M62" s="14"/>
      <c r="N62" s="3" t="s">
        <v>86</v>
      </c>
      <c r="O62" s="4" t="str">
        <f>IFERROR(__xludf.DUMMYFUNCTION("IF(COUNTA(C56:L56) = 0, """", IFERROR(TEXTJOIN("", "", TRUE, FILTER(C53:L53, C56:L56 = MIN(C56:L56))), """"))"),"")</f>
        <v/>
      </c>
      <c r="P62" s="4" t="str">
        <f>IFERROR(__xludf.DUMMYFUNCTION("IF(COUNTA(C56:L56) = 0, """", IFERROR(TEXTJOIN("", "", TRUE, FILTER(C53:L53, C63:L63 = MIN(C63:L63))), """"))"),"")</f>
        <v/>
      </c>
      <c r="Q62" s="4"/>
    </row>
    <row r="63">
      <c r="A63" s="3" t="s">
        <v>87</v>
      </c>
      <c r="B63" s="2"/>
      <c r="C63" s="25" t="str">
        <f t="shared" ref="C63:L63" si="20">IF(C56="","",IF(((IF(C56 &lt;0,((-100/C56)+1),((C56/100)+1))+(IF(C50&lt;0,((-100/C50)+1),((C50/100)+1)))*(C47+C48))/(C47+C48+1))&lt;2,(-100/(((IF(C56 &lt;0,((-100/C56)+1),((C56/100)+1))+(IF(C50&lt;0,((-100/C50)+1),((C50/100)+1)))*(C47+C48))/(C47+C48+1))-1)),(((IF(C56 &lt;0,((-100/C56)+1),((C56/100)+1))+(IF(C50&lt;0,((-100/C50)+1),((C50/100)+1)))*(C47+C48))/(C47+C48+1))-1)*100))</f>
        <v/>
      </c>
      <c r="D63" s="25" t="str">
        <f t="shared" si="20"/>
        <v/>
      </c>
      <c r="E63" s="25" t="str">
        <f t="shared" si="20"/>
        <v/>
      </c>
      <c r="F63" s="25" t="str">
        <f t="shared" si="20"/>
        <v/>
      </c>
      <c r="G63" s="25" t="str">
        <f t="shared" si="20"/>
        <v/>
      </c>
      <c r="H63" s="25" t="str">
        <f t="shared" si="20"/>
        <v/>
      </c>
      <c r="I63" s="25" t="str">
        <f t="shared" si="20"/>
        <v/>
      </c>
      <c r="J63" s="25" t="str">
        <f t="shared" si="20"/>
        <v/>
      </c>
      <c r="K63" s="25" t="str">
        <f t="shared" si="20"/>
        <v/>
      </c>
      <c r="L63" s="25" t="str">
        <f t="shared" si="20"/>
        <v/>
      </c>
      <c r="M63" s="14"/>
      <c r="N63" s="4"/>
      <c r="O63" s="12"/>
      <c r="P63" s="12"/>
      <c r="Q63" s="4"/>
    </row>
    <row r="64">
      <c r="A64" s="16" t="s">
        <v>88</v>
      </c>
      <c r="B64" s="2"/>
      <c r="C64" s="26" t="str">
        <f>IFERROR(__xludf.DUMMYFUNCTION("IF(OR(C56="""",C59=""""),"""",IF(REGEXMATCH(C59,""W""),IF(C56&lt;0,((-100/C56))*10+C51,((C56/100)*10+C51)),-10+C51))"),"")</f>
        <v/>
      </c>
      <c r="D64" s="26" t="str">
        <f>IFERROR(__xludf.DUMMYFUNCTION("IF(OR(D56="""",D59=""""),"""",IF(REGEXMATCH(D59,""W""),IF(D56&lt;0,((-100/D56))*10+D51,((D56/100)*10+D51)),-10+D51))"),"")</f>
        <v/>
      </c>
      <c r="E64" s="26" t="str">
        <f>IFERROR(__xludf.DUMMYFUNCTION("IF(OR(E56="""",E59=""""),"""",IF(REGEXMATCH(E59,""W""),IF(E56&lt;0,((-100/E56))*10+E51,((E56/100)*10+E51)),-10+E51))"),"")</f>
        <v/>
      </c>
      <c r="F64" s="26" t="str">
        <f>IFERROR(__xludf.DUMMYFUNCTION("IF(OR(F56="""",F59=""""),"""",IF(REGEXMATCH(F59,""W""),IF(F56&lt;0,((-100/F56))*10+F51,((F56/100)*10+F51)),-10+F51))"),"")</f>
        <v/>
      </c>
      <c r="G64" s="26" t="str">
        <f>IFERROR(__xludf.DUMMYFUNCTION("IF(OR(G56="""",G59=""""),"""",IF(REGEXMATCH(G59,""W""),IF(G56&lt;0,((-100/G56))*10+G51,((G56/100)*10+G51)),-10+G51))"),"")</f>
        <v/>
      </c>
      <c r="H64" s="26" t="str">
        <f>IFERROR(__xludf.DUMMYFUNCTION("IF(OR(H56="""",H59=""""),"""",IF(REGEXMATCH(H59,""W""),IF(H56&lt;0,((-100/H56))*10+H51,((H56/100)*10+H51)),-10+H51))"),"")</f>
        <v/>
      </c>
      <c r="I64" s="26" t="str">
        <f>IFERROR(__xludf.DUMMYFUNCTION("IF(OR(I56="""",I59=""""),"""",IF(REGEXMATCH(I59,""W""),IF(I56&lt;0,((-100/I56))*10+I51,((I56/100)*10+I51)),-10+I51))"),"")</f>
        <v/>
      </c>
      <c r="J64" s="26" t="str">
        <f>IFERROR(__xludf.DUMMYFUNCTION("IF(OR(J56="""",J59=""""),"""",IF(REGEXMATCH(J59,""W""),IF(J56&lt;0,((-100/J56))*10+J51,((J56/100)*10+J51)),-10+J51))"),"")</f>
        <v/>
      </c>
      <c r="K64" s="26" t="str">
        <f>IFERROR(__xludf.DUMMYFUNCTION("IF(OR(K56="""",K59=""""),"""",IF(REGEXMATCH(K59,""W""),IF(K56&lt;0,((-100/K56))*10+K51,((K56/100)*10+K51)),-10+K51))"),"")</f>
        <v/>
      </c>
      <c r="L64" s="26" t="str">
        <f>IFERROR(__xludf.DUMMYFUNCTION("IF(OR(L56="""",L59=""""),"""",IF(REGEXMATCH(L59,""W""),IF(L56&lt;0,((-100/L56))*10+L51,((L56/100)*10+L51)),-10+L51))"),"")</f>
        <v/>
      </c>
      <c r="M64" s="14"/>
      <c r="N64" s="16" t="s">
        <v>89</v>
      </c>
      <c r="O64" s="10" t="str">
        <f>IFERROR(__xludf.DUMMYFUNCTION("IF(AND(C64="""",AND(D64="""",AND(E64="""",AND(F64="""",AND(G64="""",AND(H64="""",AND(I64="""",AND(J64="""",AND(K64="""",L64=""""))))))))),"""",(IF(C59="""",0,IF(REGEXMATCH(C59,""W""),IF(C56&lt;0,((-100/C56))*10,((C56/100)*10)),-10))+IF(D59="""",0,IF(REGEXMAT"&amp;"CH(D59,""W""),IF(D56&lt;0,((-100/D56))*10,((D56/100)*10)),-10))+IF(E59="""",0,IF(REGEXMATCH(E59,""W""),IF(E56&lt;0,((-100/E56))*10,((E56/100)*10)),-10))+IF(F59="""",0,IF(REGEXMATCH(F59,""W""),IF(F56&lt;0,((-100/F56))*10,((F56/100)*10)),-10))+IF(G59="""",0,IF(REGEX"&amp;"MATCH(G59,""W""),IF(G56&lt;0,((-100/G56))*10,((G56/100)*10)),-10))+IF(H59="""",0,IF(REGEXMATCH(H59,""W""),IF(H56&lt;0,((-100/H56))*10,((H56/100)*10)),-10))+IF(I59="""",0,IF(REGEXMATCH(I59,""W""),IF(I56&lt;0,((-100/I56))*10,((I56/100)*10)),-10))+IF(J59="""",0,IF(RE"&amp;"GEXMATCH(J59,""W""),IF(J56&lt;0,((-100/J56))*10,((J56/100)*10)),-10))+IF(K59="""",0,IF(REGEXMATCH(K59,""W""),IF(K56&lt;0,((-100/K56))*10,((K56/100)*10)),-10))+IF(L59="""",0,IF(REGEXMATCH(L59,""W""),IF(L56&lt;0,((-100/L56))*10,((L56/100)*10)),-10))))"),"")</f>
        <v/>
      </c>
      <c r="P64" s="10" t="str">
        <f>IFERROR(__xludf.DUMMYFUNCTION("IF(AND(C64="""",AND(D64="""",AND(E64="""",AND(F64="""",AND(G64="""",AND(H64="""",AND(I64="""",AND(J64="""",AND(K64="""",L64=""""))))))))),"""",(P51+IF(C59="""",0,IF(REGEXMATCH(C59,""W""),IF(C56&lt;0,((-100/C56))*10,((C56/100)*10)),-10))+IF(D59="""",0,IF(REGE"&amp;"XMATCH(D59,""W""),IF(D56&lt;0,((-100/D56))*10,((D56/100)*10)),-10))+IF(E59="""",0,IF(REGEXMATCH(E59,""W""),IF(E56&lt;0,((-100/E56))*10,((E56/100)*10)),-10))+IF(F59="""",0,IF(REGEXMATCH(F59,""W""),IF(F56&lt;0,((-100/F56))*10,((F56/100)*10)),-10))+IF(G59="""",0,IF(R"&amp;"EGEXMATCH(G59,""W""),IF(G56&lt;0,((-100/G56))*10,((G56/100)*10)),-10))+IF(H59="""",0,IF(REGEXMATCH(H59,""W""),IF(H56&lt;0,((-100/H56))*10,((H56/100)*10)),-10))+IF(I59="""",0,IF(REGEXMATCH(I59,""W""),IF(I56&lt;0,((-100/I56))*10,((I56/100)*10)),-10))+IF(J59="""",0,I"&amp;"F(REGEXMATCH(J59,""W""),IF(J56&lt;0,((-100/J56))*10,((J56/100)*10)),-10))+IF(K59="""",0,IF(REGEXMATCH(K59,""W""),IF(K56&lt;0,((-100/K56))*10,((K56/100)*10)),-10))+IF(L59="""",0,IF(REGEXMATCH(L59,""W""),IF(L56&lt;0,((-100/L56))*10,((L56/100)*10)),-10))))"),"")</f>
        <v/>
      </c>
      <c r="Q64" s="4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</row>
    <row r="66">
      <c r="A66" s="1" t="s">
        <v>14</v>
      </c>
      <c r="B66" s="2"/>
      <c r="C66" s="3" t="s">
        <v>1</v>
      </c>
      <c r="D66" s="3" t="s">
        <v>2</v>
      </c>
      <c r="E66" s="3" t="s">
        <v>3</v>
      </c>
      <c r="F66" s="3" t="s">
        <v>4</v>
      </c>
      <c r="G66" s="3" t="s">
        <v>5</v>
      </c>
      <c r="H66" s="3" t="s">
        <v>6</v>
      </c>
      <c r="I66" s="3" t="s">
        <v>7</v>
      </c>
      <c r="J66" s="3" t="s">
        <v>8</v>
      </c>
      <c r="K66" s="3" t="s">
        <v>9</v>
      </c>
      <c r="L66" s="3" t="s">
        <v>10</v>
      </c>
      <c r="M66" s="2"/>
      <c r="N66" s="4"/>
      <c r="O66" s="3" t="s">
        <v>11</v>
      </c>
      <c r="P66" s="4"/>
      <c r="Q66" s="4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</row>
    <row r="68">
      <c r="A68" s="3" t="s">
        <v>12</v>
      </c>
      <c r="B68" s="2"/>
      <c r="C68" s="5"/>
      <c r="D68" s="5"/>
      <c r="E68" s="5"/>
      <c r="F68" s="5"/>
      <c r="G68" s="5"/>
      <c r="H68" s="5"/>
      <c r="I68" s="5"/>
      <c r="J68" s="5"/>
      <c r="K68" s="5"/>
      <c r="L68" s="5"/>
      <c r="M68" s="2"/>
      <c r="N68" s="3" t="s">
        <v>13</v>
      </c>
      <c r="O68" s="7" t="str">
        <f>IF(AND(C69="",AND(D69="",AND(E69="",AND(F69="",AND(G69="",AND(H69="",AND(I69="",AND(J69="",AND(K69="",L69=""))))))))),"",IF(((IF(C69="",1,IF(C69&gt;0,(C69/100)+1,(100/((-1)*C69))+1)))*(IF(D69="",1,IF(D69&gt;0,(D69/100)+1,(100/((-1)*D69))+1)))*(IF(E69="",1,IF(E69&gt;0,(E69/100)+1,(100/((-1)*E69))+1)))*(IF(F69="",1,IF(F69&gt;0,(F69/100)+1,(100/((-1)*F69))+1)))*(IF(G69="",1,IF(G69&gt;0,(G69/100)+1,(100/((-1)*G69))+1)))*(IF(H69="",1,IF(H69&gt;0,(H69/100)+1,(100/((-1)*H69))+1)))*(IF(I69="",1,IF(I69&gt;0,(I69/100)+1,(100/((-1)*I69))+1)))*(IF(J69="",1,IF(J69&gt;0,(J69/100)+1,(100/((-1)*J69))+1)))*(IF(K69="",1,IF(K69&gt;0,(K69/100)+1,(100/((-1)*K69))+1)))*(IF(L69="",1,IF(L69&gt;0,(L69/100)+1,(100/((-1)*L69))+1))))&lt;2,((-100)/(((IF(C69="",1,IF(C69&gt;0,(C69/100)+1,(100/((-1)*C69))+1)))*(IF(D69="",1,IF(D69&gt;0,(D69/100)+1,(100/((-1)*D69))+1)))*(IF(E69="",1,IF(E69&gt;0,(E69/100)+1,(100/((-1)*E69))+1)))*(IF(F69="",1,IF(F69&gt;0,(F69/100)+1,(100/((-1)*F69))+1)))*(IF(G69="",1,IF(G69&gt;0,(G69/100)+1,(100/((-1)*G69))+1)))*(IF(H69="",1,IF(H69&gt;0,(H69/100)+1,(100/((-1)*H69))+1)))*(IF(I69="",1,IF(I69&gt;0,(I69/100)+1,(100/((-1)*I69))+1)))*(IF(J69="",1,IF(J69&gt;0,(J69/100)+1,(100/((-1)*J69))+1)))*(IF(K69="",1,IF(K69&gt;0,(K69/100)+1,(100/((-1)*K69))+1)))*(IF(L69="",1,IF(L69&gt;0,(L69/100)+1,(100/((-1)*L69))+1))))-1)),((((IF(C69="",1,IF(C69&gt;0,(C69/100)+1,(100/((-1)*C69))+1)))*(IF(D69="",1,IF(D69&gt;0,(D69/100)+1,(100/((-1)*D69))+1)))*(IF(E69="",1,IF(E69&gt;0,(E69/100)+1,(100/((-1)*E69))+1)))*(IF(F69="",1,IF(F69&gt;0,(F69/100)+1,(100/((-1)*F69))+1)))*(IF(G69="",1,IF(G69&gt;0,(G69/100)+1,(100/((-1)*G69))+1)))*(IF(H69="",1,IF(H69&gt;0,(H69/100)+1,(100/((-1)*H69))+1)))*(IF(I69="",1,IF(I69&gt;0,(I69/100)+1,(100/((-1)*I69))+1)))*(IF(J69="",1,IF(J69&gt;0,(J69/100)+1,(100/((-1)*J69))+1)))*(IF(K69="",1,IF(K69&gt;0,(K69/100)+1,(100/((-1)*K69))+1)))*(IF(L69="",1,IF(L69&gt;0,(L69/100)+1,(100/((-1)*L69))+1))))-1)*(100))))</f>
        <v/>
      </c>
      <c r="P68" s="4"/>
      <c r="Q68" s="8" t="s">
        <v>35</v>
      </c>
    </row>
    <row r="69">
      <c r="A69" s="3" t="s">
        <v>13</v>
      </c>
      <c r="B69" s="2"/>
      <c r="C69" s="5"/>
      <c r="D69" s="5"/>
      <c r="E69" s="5"/>
      <c r="F69" s="5"/>
      <c r="G69" s="5"/>
      <c r="H69" s="5"/>
      <c r="I69" s="5"/>
      <c r="J69" s="5"/>
      <c r="K69" s="5"/>
      <c r="L69" s="5"/>
      <c r="M69" s="2">
        <v>5.0</v>
      </c>
      <c r="N69" s="3" t="s">
        <v>36</v>
      </c>
      <c r="O69" s="10" t="str">
        <f>IF(AND(C69="",AND(D69="",AND(E69="",AND(F69="",AND(G69="",AND(H69="",AND(I69="",AND(J69="",AND(K69="",L69=""))))))))),"",10+IF((IF(((IF(C69="",1,IF(C69&gt;0,(C69/100)+1,(100/((-1)*C69))+1)))*(IF(D69="",1,IF(D69&gt;0,(D69/100)+1,(100/((-1)*D69))+1)))*(IF(E69="",1,IF(E69&gt;0,(E69/100)+1,(100/((-1)*E69))+1)))*(IF(F69="",1,IF(F69&gt;0,(F69/100)+1,(100/((-1)*F69))+1)))*(IF(G69="",1,IF(G69&gt;0,(G69/100)+1,(100/((-1)*G69))+1)))*(IF(H69="",1,IF(H69&gt;0,(H69/100)+1,(100/((-1)*H69))+1)))*(IF(I69="",1,IF(I69&gt;0,(I69/100)+1,(100/((-1)*I69))+1)))*(IF(J69="",1,IF(J69&gt;0,(J69/100)+1,(100/((-1)*J69))+1)))*(IF(K69="",1,IF(K69&gt;0,(K69/100)+1,(100/((-1)*K69))+1)))*(IF(L69="",1,IF(L69&gt;0,(L69/100)+1,(100/((-1)*L69))+1))))&lt;2,((-100)/(((IF(C69="",1,IF(C69&gt;0,(C69/100)+1,(100/((-1)*C69))+1)))*(IF(D69="",1,IF(D69&gt;0,(D69/100)+1,(100/((-1)*D69))+1)))*(IF(E69="",1,IF(E69&gt;0,(E69/100)+1,(100/((-1)*E69))+1)))*(IF(F69="",1,IF(F69&gt;0,(F69/100)+1,(100/((-1)*F69))+1)))*(IF(G69="",1,IF(G69&gt;0,(G69/100)+1,(100/((-1)*G69))+1)))*(IF(H69="",1,IF(H69&gt;0,(H69/100)+1,(100/((-1)*H69))+1)))*(IF(I69="",1,IF(I69&gt;0,(I69/100)+1,(100/((-1)*I69))+1)))*(IF(J69="",1,IF(J69&gt;0,(J69/100)+1,(100/((-1)*J69))+1)))*(IF(K69="",1,IF(K69&gt;0,(K69/100)+1,(100/((-1)*K69))+1)))*(IF(L69="",1,IF(L69&gt;0,(L69/100)+1,(100/((-1)*L69))+1))))-1)),((((IF(C69="",1,IF(C69&gt;0,(C69/100)+1,(100/((-1)*C69))+1)))*(IF(D69="",1,IF(D69&gt;0,(D69/100)+1,(100/((-1)*D69))+1)))*(IF(E69="",1,IF(E69&gt;0,(E69/100)+1,(100/((-1)*E69))+1)))*(IF(F69="",1,IF(F69&gt;0,(F69/100)+1,(100/((-1)*F69))+1)))*(IF(G69="",1,IF(G69&gt;0,(G69/100)+1,(100/((-1)*G69))+1)))*(IF(H69="",1,IF(H69&gt;0,(H69/100)+1,(100/((-1)*H69))+1)))*(IF(I69="",1,IF(I69&gt;0,(I69/100)+1,(100/((-1)*I69))+1)))*(IF(J69="",1,IF(J69&gt;0,(J69/100)+1,(100/((-1)*J69))+1)))*(IF(K69="",1,IF(K69&gt;0,(K69/100)+1,(100/((-1)*K69))+1)))*(IF(L69="",1,IF(L69&gt;0,(L69/100)+1,(100/((-1)*L69))+1))))-1)*(100))))&lt;0,(((-100)/((IF(((IF(C69="",1,IF(C69&gt;0,(C69/100)+1,(100/((-1)*C69))+1)))*(IF(D69="",1,IF(D69&gt;0,(D69/100)+1,(100/((-1)*D69))+1)))*(IF(E69="",1,IF(E69&gt;0,(E69/100)+1,(100/((-1)*E69))+1)))*(IF(F69="",1,IF(F69&gt;0,(F69/100)+1,(100/((-1)*F69))+1)))*(IF(G69="",1,IF(G69&gt;0,(G69/100)+1,(100/((-1)*G69))+1)))*(IF(H69="",1,IF(H69&gt;0,(H69/100)+1,(100/((-1)*H69))+1)))*(IF(I69="",1,IF(I69&gt;0,(I69/100)+1,(100/((-1)*I69))+1)))*(IF(J69="",1,IF(J69&gt;0,(J69/100)+1,(100/((-1)*J69))+1)))*(IF(K69="",1,IF(K69&gt;0,(K69/100)+1,(100/((-1)*K69))+1)))*(IF(L69="",1,IF(L69&gt;0,(L69/100)+1,(100/((-1)*L69))+1))))&lt;2,((-100)/(((IF(C69="",1,IF(C69&gt;0,(C69/100)+1,(100/((-1)*C69))+1)))*(IF(D69="",1,IF(D69&gt;0,(D69/100)+1,(100/((-1)*D69))+1)))*(IF(E69="",1,IF(E69&gt;0,(E69/100)+1,(100/((-1)*E69))+1)))*(IF(F69="",1,IF(F69&gt;0,(F69/100)+1,(100/((-1)*F69))+1)))*(IF(G69="",1,IF(G69&gt;0,(G69/100)+1,(100/((-1)*G69))+1)))*(IF(H69="",1,IF(H69&gt;0,(H69/100)+1,(100/((-1)*H69))+1)))*(IF(I69="",1,IF(I69&gt;0,(I69/100)+1,(100/((-1)*I69))+1)))*(IF(J69="",1,IF(J69&gt;0,(J69/100)+1,(100/((-1)*J69))+1)))*(IF(K69="",1,IF(K69&gt;0,(K69/100)+1,(100/((-1)*K69))+1)))*(IF(L69="",1,IF(L69&gt;0,(L69/100)+1,(100/((-1)*L69))+1))))-1)),((((IF(C69="",1,IF(C69&gt;0,(C69/100)+1,(100/((-1)*C69))+1)))*(IF(D69="",1,IF(D69&gt;0,(D69/100)+1,(100/((-1)*D69))+1)))*(IF(E69="",1,IF(E69&gt;0,(E69/100)+1,(100/((-1)*E69))+1)))*(IF(F69="",1,IF(F69&gt;0,(F69/100)+1,(100/((-1)*F69))+1)))*(IF(G69="",1,IF(G69&gt;0,(G69/100)+1,(100/((-1)*G69))+1)))*(IF(H69="",1,IF(H69&gt;0,(H69/100)+1,(100/((-1)*H69))+1)))*(IF(I69="",1,IF(I69&gt;0,(I69/100)+1,(100/((-1)*I69))+1)))*(IF(J69="",1,IF(J69&gt;0,(J69/100)+1,(100/((-1)*J69))+1)))*(IF(K69="",1,IF(K69&gt;0,(K69/100)+1,(100/((-1)*K69))+1)))*(IF(L69="",1,IF(L69&gt;0,(L69/100)+1,(100/((-1)*L69))+1))))-1)*(100))))))*10),(((IF(((IF(C69="",1,IF(C69&gt;0,(C69/100)+1,(100/((-1)*C69))+1)))*(IF(D69="",1,IF(D69&gt;0,(D69/100)+1,(100/((-1)*D69))+1)))*(IF(E69="",1,IF(E69&gt;0,(E69/100)+1,(100/((-1)*E69))+1)))*(IF(F69="",1,IF(F69&gt;0,(F69/100)+1,(100/((-1)*F69))+1)))*(IF(G69="",1,IF(G69&gt;0,(G69/100)+1,(100/((-1)*G69))+1)))*(IF(H69="",1,IF(H69&gt;0,(H69/100)+1,(100/((-1)*H69))+1)))*(IF(I69="",1,IF(I69&gt;0,(I69/100)+1,(100/((-1)*I69))+1)))*(IF(J69="",1,IF(J69&gt;0,(J69/100)+1,(100/((-1)*J69))+1)))*(IF(K69="",1,IF(K69&gt;0,(K69/100)+1,(100/((-1)*K69))+1)))*(IF(L69="",1,IF(L69&gt;0,(L69/100)+1,(100/((-1)*L69))+1))))&lt;2,((-100)/(((IF(C69="",1,IF(C69&gt;0,(C69/100)+1,(100/((-1)*C69))+1)))*(IF(D69="",1,IF(D69&gt;0,(D69/100)+1,(100/((-1)*D69))+1)))*(IF(E69="",1,IF(E69&gt;0,(E69/100)+1,(100/((-1)*E69))+1)))*(IF(F69="",1,IF(F69&gt;0,(F69/100)+1,(100/((-1)*F69))+1)))*(IF(G69="",1,IF(G69&gt;0,(G69/100)+1,(100/((-1)*G69))+1)))*(IF(H69="",1,IF(H69&gt;0,(H69/100)+1,(100/((-1)*H69))+1)))*(IF(I69="",1,IF(I69&gt;0,(I69/100)+1,(100/((-1)*I69))+1)))*(IF(J69="",1,IF(J69&gt;0,(J69/100)+1,(100/((-1)*J69))+1)))*(IF(K69="",1,IF(K69&gt;0,(K69/100)+1,(100/((-1)*K69))+1)))*(IF(L69="",1,IF(L69&gt;0,(L69/100)+1,(100/((-1)*L69))+1))))-1)),((((IF(C69="",1,IF(C69&gt;0,(C69/100)+1,(100/((-1)*C69))+1)))*(IF(D69="",1,IF(D69&gt;0,(D69/100)+1,(100/((-1)*D69))+1)))*(IF(E69="",1,IF(E69&gt;0,(E69/100)+1,(100/((-1)*E69))+1)))*(IF(F69="",1,IF(F69&gt;0,(F69/100)+1,(100/((-1)*F69))+1)))*(IF(G69="",1,IF(G69&gt;0,(G69/100)+1,(100/((-1)*G69))+1)))*(IF(H69="",1,IF(H69&gt;0,(H69/100)+1,(100/((-1)*H69))+1)))*(IF(I69="",1,IF(I69&gt;0,(I69/100)+1,(100/((-1)*I69))+1)))*(IF(J69="",1,IF(J69&gt;0,(J69/100)+1,(100/((-1)*J69))+1)))*(IF(K69="",1,IF(K69&gt;0,(K69/100)+1,(100/((-1)*K69))+1)))*(IF(L69="",1,IF(L69&gt;0,(L69/100)+1,(100/((-1)*L69))+1))))-1)*(100))))/100)*10)))</f>
        <v/>
      </c>
      <c r="P69" s="4"/>
      <c r="Q69" s="4"/>
    </row>
    <row r="70">
      <c r="A70" s="3" t="s">
        <v>37</v>
      </c>
      <c r="B70" s="2"/>
      <c r="C70" s="5"/>
      <c r="D70" s="5"/>
      <c r="E70" s="5"/>
      <c r="F70" s="5"/>
      <c r="G70" s="5"/>
      <c r="H70" s="5"/>
      <c r="I70" s="5"/>
      <c r="J70" s="5"/>
      <c r="K70" s="5"/>
      <c r="L70" s="5"/>
      <c r="M70" s="2"/>
      <c r="N70" s="4"/>
      <c r="O70" s="4"/>
      <c r="P70" s="4"/>
      <c r="Q70" s="4"/>
    </row>
    <row r="71">
      <c r="A71" s="3" t="s">
        <v>48</v>
      </c>
      <c r="B71" s="2"/>
      <c r="C71" s="5"/>
      <c r="D71" s="5"/>
      <c r="E71" s="5"/>
      <c r="F71" s="5"/>
      <c r="G71" s="5"/>
      <c r="H71" s="11"/>
      <c r="I71" s="5"/>
      <c r="J71" s="5"/>
      <c r="K71" s="5"/>
      <c r="L71" s="5"/>
      <c r="M71" s="2"/>
      <c r="N71" s="4"/>
      <c r="O71" s="3" t="s">
        <v>56</v>
      </c>
      <c r="P71" s="3" t="s">
        <v>57</v>
      </c>
      <c r="Q71" s="4"/>
    </row>
    <row r="72">
      <c r="A72" s="3" t="s">
        <v>59</v>
      </c>
      <c r="B72" s="2"/>
      <c r="C72" s="5"/>
      <c r="D72" s="5"/>
      <c r="E72" s="5"/>
      <c r="F72" s="5"/>
      <c r="G72" s="5"/>
      <c r="H72" s="5"/>
      <c r="I72" s="5"/>
      <c r="J72" s="5"/>
      <c r="K72" s="5"/>
      <c r="L72" s="5"/>
      <c r="M72" s="2"/>
      <c r="N72" s="3" t="s">
        <v>65</v>
      </c>
      <c r="O72" s="12" t="str">
        <f>IFERROR(__xludf.DUMMYFUNCTION("IF(OR(COUNTA(C69:L69) = 0, COUNTA(C72:L72) = 0), """", IFERROR(TEXTJOIN("", "", TRUE, FILTER(C66:L66, (C72:L72 = ""W"") * (C69:L69 = MAX(FILTER(C69:L69, C72:L72 = ""W""))))), """"))"),"")</f>
        <v/>
      </c>
      <c r="P72" s="12" t="str">
        <f>IFERROR(__xludf.DUMMYFUNCTION("IF(COUNTA(C77:L77) = 0, """", IFERROR(TEXTJOIN("", "", TRUE, FILTER(C66:L66, C77:L77 = MAX(C77:L77))), """"))"),"")</f>
        <v/>
      </c>
      <c r="Q72" s="4"/>
    </row>
    <row r="73">
      <c r="A73" s="1" t="s">
        <v>81</v>
      </c>
      <c r="B73" s="2"/>
      <c r="C73" s="4" t="str">
        <f t="shared" ref="C73:L73" si="21">IF(OR(C69="",C72=""),"",C60+COUNTIF(C72,"W"))</f>
        <v/>
      </c>
      <c r="D73" s="4" t="str">
        <f t="shared" si="21"/>
        <v/>
      </c>
      <c r="E73" s="4" t="str">
        <f t="shared" si="21"/>
        <v/>
      </c>
      <c r="F73" s="4" t="str">
        <f t="shared" si="21"/>
        <v/>
      </c>
      <c r="G73" s="4" t="str">
        <f t="shared" si="21"/>
        <v/>
      </c>
      <c r="H73" s="4" t="str">
        <f t="shared" si="21"/>
        <v/>
      </c>
      <c r="I73" s="4" t="str">
        <f t="shared" si="21"/>
        <v/>
      </c>
      <c r="J73" s="4" t="str">
        <f t="shared" si="21"/>
        <v/>
      </c>
      <c r="K73" s="4" t="str">
        <f t="shared" si="21"/>
        <v/>
      </c>
      <c r="L73" s="4" t="str">
        <f t="shared" si="21"/>
        <v/>
      </c>
      <c r="M73" s="2"/>
      <c r="N73" s="3" t="s">
        <v>82</v>
      </c>
      <c r="O73" s="4" t="str">
        <f>IFERROR(__xludf.DUMMYFUNCTION("IF(OR(COUNTA(C69:L69) = 0, COUNTA(C72:L72) = 0), """", IFERROR(TEXTJOIN("", "", TRUE, FILTER(C66:L66, (C72:L72 = ""L"") * (C69:L69 = MIN(FILTER(C69:L69, C72:L72 = ""L""))))), """"))"),"")</f>
        <v/>
      </c>
      <c r="P73" s="12" t="str">
        <f>IFERROR(__xludf.DUMMYFUNCTION("IF(COUNTA(C77:L77) = 0, """", IFERROR(TEXTJOIN("", "", TRUE, FILTER(C66:L66, C77:L77 = MIN(C77:L77))), """"))"),"")</f>
        <v/>
      </c>
      <c r="Q73" s="4"/>
    </row>
    <row r="74">
      <c r="A74" s="1" t="s">
        <v>83</v>
      </c>
      <c r="B74" s="2"/>
      <c r="C74" s="27" t="str">
        <f t="shared" ref="C74:L74" si="22">IF(OR(C69="",C72=""),"",C61+COUNTIF(C72,"L"))</f>
        <v/>
      </c>
      <c r="D74" s="27" t="str">
        <f t="shared" si="22"/>
        <v/>
      </c>
      <c r="E74" s="27" t="str">
        <f t="shared" si="22"/>
        <v/>
      </c>
      <c r="F74" s="27" t="str">
        <f t="shared" si="22"/>
        <v/>
      </c>
      <c r="G74" s="27" t="str">
        <f t="shared" si="22"/>
        <v/>
      </c>
      <c r="H74" s="27" t="str">
        <f t="shared" si="22"/>
        <v/>
      </c>
      <c r="I74" s="27" t="str">
        <f t="shared" si="22"/>
        <v/>
      </c>
      <c r="J74" s="27" t="str">
        <f t="shared" si="22"/>
        <v/>
      </c>
      <c r="K74" s="27" t="str">
        <f t="shared" si="22"/>
        <v/>
      </c>
      <c r="L74" s="27" t="str">
        <f t="shared" si="22"/>
        <v/>
      </c>
      <c r="M74" s="2"/>
      <c r="N74" s="3" t="s">
        <v>84</v>
      </c>
      <c r="O74" s="12" t="str">
        <f>IFERROR(__xludf.DUMMYFUNCTION("IF(COUNTA(C69:L69) = 0, """", IFERROR(TEXTJOIN("", "", TRUE, FILTER(C66:L66, C69:L69 = MAX(C69:L69))), """"))"),"")</f>
        <v/>
      </c>
      <c r="P74" s="4" t="str">
        <f>IFERROR(__xludf.DUMMYFUNCTION("IF(COUNTA(C69:L69) = 0, """", IFERROR(TEXTJOIN("", "", TRUE, FILTER(C66:L66, C76:L76 = MAX(C76:L76))), """"))"),"")</f>
        <v/>
      </c>
      <c r="Q74" s="4"/>
    </row>
    <row r="75">
      <c r="A75" s="3" t="s">
        <v>85</v>
      </c>
      <c r="B75" s="2"/>
      <c r="C75" s="24" t="str">
        <f t="shared" ref="C75:L75" si="23">IF(OR(C69="",C72=""),"",(C73/(C73+C74)))</f>
        <v/>
      </c>
      <c r="D75" s="24" t="str">
        <f t="shared" si="23"/>
        <v/>
      </c>
      <c r="E75" s="24" t="str">
        <f t="shared" si="23"/>
        <v/>
      </c>
      <c r="F75" s="24" t="str">
        <f t="shared" si="23"/>
        <v/>
      </c>
      <c r="G75" s="24" t="str">
        <f t="shared" si="23"/>
        <v/>
      </c>
      <c r="H75" s="24" t="str">
        <f t="shared" si="23"/>
        <v/>
      </c>
      <c r="I75" s="24" t="str">
        <f t="shared" si="23"/>
        <v/>
      </c>
      <c r="J75" s="24" t="str">
        <f t="shared" si="23"/>
        <v/>
      </c>
      <c r="K75" s="24" t="str">
        <f t="shared" si="23"/>
        <v/>
      </c>
      <c r="L75" s="24" t="str">
        <f t="shared" si="23"/>
        <v/>
      </c>
      <c r="M75" s="14"/>
      <c r="N75" s="3" t="s">
        <v>86</v>
      </c>
      <c r="O75" s="4" t="str">
        <f>IFERROR(__xludf.DUMMYFUNCTION("IF(COUNTA(C69:L69) = 0, """", IFERROR(TEXTJOIN("", "", TRUE, FILTER(C66:L66, C69:L69 = MIN(C69:L69))), """"))"),"")</f>
        <v/>
      </c>
      <c r="P75" s="4" t="str">
        <f>IFERROR(__xludf.DUMMYFUNCTION("IF(COUNTA(C69:L69) = 0, """", IFERROR(TEXTJOIN("", "", TRUE, FILTER(C66:L66, C76:L76 = MIN(C76:L76))), """"))"),"")</f>
        <v/>
      </c>
      <c r="Q75" s="4"/>
    </row>
    <row r="76">
      <c r="A76" s="3" t="s">
        <v>87</v>
      </c>
      <c r="B76" s="2"/>
      <c r="C76" s="25" t="str">
        <f t="shared" ref="C76:L76" si="24">IF(C69="","",IF(((IF(C69 &lt;0,((-100/C69)+1),((C69/100)+1))+(IF(C63&lt;0,((-100/C63)+1),((C63/100)+1)))*(C60+C61))/(C60+C61+1))&lt;2,(-100/(((IF(C69 &lt;0,((-100/C69)+1),((C69/100)+1))+(IF(C63&lt;0,((-100/C63)+1),((C63/100)+1)))*(C60+C61))/(C60+C61+1))-1)),(((IF(C69 &lt;0,((-100/C69)+1),((C69/100)+1))+(IF(C63&lt;0,((-100/C63)+1),((C63/100)+1)))*(C60+C61))/(C60+C61+1))-1)*100))</f>
        <v/>
      </c>
      <c r="D76" s="25" t="str">
        <f t="shared" si="24"/>
        <v/>
      </c>
      <c r="E76" s="25" t="str">
        <f t="shared" si="24"/>
        <v/>
      </c>
      <c r="F76" s="25" t="str">
        <f t="shared" si="24"/>
        <v/>
      </c>
      <c r="G76" s="25" t="str">
        <f t="shared" si="24"/>
        <v/>
      </c>
      <c r="H76" s="25" t="str">
        <f t="shared" si="24"/>
        <v/>
      </c>
      <c r="I76" s="25" t="str">
        <f t="shared" si="24"/>
        <v/>
      </c>
      <c r="J76" s="25" t="str">
        <f t="shared" si="24"/>
        <v/>
      </c>
      <c r="K76" s="25" t="str">
        <f t="shared" si="24"/>
        <v/>
      </c>
      <c r="L76" s="25" t="str">
        <f t="shared" si="24"/>
        <v/>
      </c>
      <c r="M76" s="14"/>
      <c r="N76" s="4"/>
      <c r="O76" s="12"/>
      <c r="P76" s="12"/>
      <c r="Q76" s="4"/>
    </row>
    <row r="77">
      <c r="A77" s="16" t="s">
        <v>88</v>
      </c>
      <c r="B77" s="2"/>
      <c r="C77" s="26" t="str">
        <f>IFERROR(__xludf.DUMMYFUNCTION("IF(OR(C69="""",C72=""""),"""",IF(REGEXMATCH(C72,""W""),IF(C69&lt;0,((-100/C69))*10+C64,((C69/100)*10+C64)),-10+C64))"),"")</f>
        <v/>
      </c>
      <c r="D77" s="26" t="str">
        <f>IFERROR(__xludf.DUMMYFUNCTION("IF(OR(D69="""",D72=""""),"""",IF(REGEXMATCH(D72,""W""),IF(D69&lt;0,((-100/D69))*10+D64,((D69/100)*10+D64)),-10+D64))"),"")</f>
        <v/>
      </c>
      <c r="E77" s="26" t="str">
        <f>IFERROR(__xludf.DUMMYFUNCTION("IF(OR(E69="""",E72=""""),"""",IF(REGEXMATCH(E72,""W""),IF(E69&lt;0,((-100/E69))*10+E64,((E69/100)*10+E64)),-10+E64))"),"")</f>
        <v/>
      </c>
      <c r="F77" s="26" t="str">
        <f>IFERROR(__xludf.DUMMYFUNCTION("IF(OR(F69="""",F72=""""),"""",IF(REGEXMATCH(F72,""W""),IF(F69&lt;0,((-100/F69))*10+F64,((F69/100)*10+F64)),-10+F64))"),"")</f>
        <v/>
      </c>
      <c r="G77" s="26" t="str">
        <f>IFERROR(__xludf.DUMMYFUNCTION("IF(OR(G69="""",G72=""""),"""",IF(REGEXMATCH(G72,""W""),IF(G69&lt;0,((-100/G69))*10+G64,((G69/100)*10+G64)),-10+G64))"),"")</f>
        <v/>
      </c>
      <c r="H77" s="26" t="str">
        <f>IFERROR(__xludf.DUMMYFUNCTION("IF(OR(H69="""",H72=""""),"""",IF(REGEXMATCH(H72,""W""),IF(H69&lt;0,((-100/H69))*10+H64,((H69/100)*10+H64)),-10+H64))"),"")</f>
        <v/>
      </c>
      <c r="I77" s="26" t="str">
        <f>IFERROR(__xludf.DUMMYFUNCTION("IF(OR(I69="""",I72=""""),"""",IF(REGEXMATCH(I72,""W""),IF(I69&lt;0,((-100/I69))*10+I64,((I69/100)*10+I64)),-10+I64))"),"")</f>
        <v/>
      </c>
      <c r="J77" s="26" t="str">
        <f>IFERROR(__xludf.DUMMYFUNCTION("IF(OR(J69="""",J72=""""),"""",IF(REGEXMATCH(J72,""W""),IF(J69&lt;0,((-100/J69))*10+J64,((J69/100)*10+J64)),-10+J64))"),"")</f>
        <v/>
      </c>
      <c r="K77" s="26" t="str">
        <f>IFERROR(__xludf.DUMMYFUNCTION("IF(OR(K69="""",K72=""""),"""",IF(REGEXMATCH(K72,""W""),IF(K69&lt;0,((-100/K69))*10+K64,((K69/100)*10+K64)),-10+K64))"),"")</f>
        <v/>
      </c>
      <c r="L77" s="26" t="str">
        <f>IFERROR(__xludf.DUMMYFUNCTION("IF(OR(L69="""",L72=""""),"""",IF(REGEXMATCH(L72,""W""),IF(L69&lt;0,((-100/L69))*10+L64,((L69/100)*10+L64)),-10+L64))"),"")</f>
        <v/>
      </c>
      <c r="M77" s="14"/>
      <c r="N77" s="16" t="s">
        <v>89</v>
      </c>
      <c r="O77" s="10" t="str">
        <f>IFERROR(__xludf.DUMMYFUNCTION("IF(AND(C77="""",AND(D77="""",AND(E77="""",AND(F77="""",AND(G77="""",AND(H77="""",AND(I77="""",AND(J77="""",AND(K77="""",L77=""""))))))))),"""",(IF(C72="""",0,IF(REGEXMATCH(C72,""W""),IF(C69&lt;0,((-100/C69))*10,((C69/100)*10)),-10))+IF(D72="""",0,IF(REGEXMAT"&amp;"CH(D72,""W""),IF(D69&lt;0,((-100/D69))*10,((D69/100)*10)),-10))+IF(E72="""",0,IF(REGEXMATCH(E72,""W""),IF(E69&lt;0,((-100/E69))*10,((E69/100)*10)),-10))+IF(F72="""",0,IF(REGEXMATCH(F72,""W""),IF(F69&lt;0,((-100/F69))*10,((F69/100)*10)),-10))+IF(G72="""",0,IF(REGEX"&amp;"MATCH(G72,""W""),IF(G69&lt;0,((-100/G69))*10,((G69/100)*10)),-10))+IF(H72="""",0,IF(REGEXMATCH(H72,""W""),IF(H69&lt;0,((-100/H69))*10,((H69/100)*10)),-10))+IF(I72="""",0,IF(REGEXMATCH(I72,""W""),IF(I69&lt;0,((-100/I69))*10,((I69/100)*10)),-10))+IF(J72="""",0,IF(RE"&amp;"GEXMATCH(J72,""W""),IF(J69&lt;0,((-100/J69))*10,((J69/100)*10)),-10))+IF(K72="""",0,IF(REGEXMATCH(K72,""W""),IF(K69&lt;0,((-100/K69))*10,((K69/100)*10)),-10))+IF(L72="""",0,IF(REGEXMATCH(L72,""W""),IF(L69&lt;0,((-100/L69))*10,((L69/100)*10)),-10))))"),"")</f>
        <v/>
      </c>
      <c r="P77" s="10" t="str">
        <f>IFERROR(__xludf.DUMMYFUNCTION("IF(AND(C77="""",AND(D77="""",AND(E77="""",AND(F77="""",AND(G77="""",AND(H77="""",AND(I77="""",AND(J77="""",AND(K77="""",L77=""""))))))))),"""",(P64+IF(C72="""",0,IF(REGEXMATCH(C72,""W""),IF(C69&lt;0,((-100/C69))*10,((C69/100)*10)),-10))+IF(D72="""",0,IF(REGE"&amp;"XMATCH(D72,""W""),IF(D69&lt;0,((-100/D69))*10,((D69/100)*10)),-10))+IF(E72="""",0,IF(REGEXMATCH(E72,""W""),IF(E69&lt;0,((-100/E69))*10,((E69/100)*10)),-10))+IF(F72="""",0,IF(REGEXMATCH(F72,""W""),IF(F69&lt;0,((-100/F69))*10,((F69/100)*10)),-10))+IF(G72="""",0,IF(R"&amp;"EGEXMATCH(G72,""W""),IF(G69&lt;0,((-100/G69))*10,((G69/100)*10)),-10))+IF(H72="""",0,IF(REGEXMATCH(H72,""W""),IF(H69&lt;0,((-100/H69))*10,((H69/100)*10)),-10))+IF(I72="""",0,IF(REGEXMATCH(I72,""W""),IF(I69&lt;0,((-100/I69))*10,((I69/100)*10)),-10))+IF(J72="""",0,I"&amp;"F(REGEXMATCH(J72,""W""),IF(J69&lt;0,((-100/J69))*10,((J69/100)*10)),-10))+IF(K72="""",0,IF(REGEXMATCH(K72,""W""),IF(K69&lt;0,((-100/K69))*10,((K69/100)*10)),-10))+IF(L72="""",0,IF(REGEXMATCH(L72,""W""),IF(L69&lt;0,((-100/L69))*10,((L69/100)*10)),-10))))"),"")</f>
        <v/>
      </c>
      <c r="Q77" s="4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</row>
    <row r="79">
      <c r="A79" s="1" t="s">
        <v>90</v>
      </c>
      <c r="B79" s="2"/>
      <c r="C79" s="3" t="s">
        <v>1</v>
      </c>
      <c r="D79" s="3" t="s">
        <v>2</v>
      </c>
      <c r="E79" s="3" t="s">
        <v>3</v>
      </c>
      <c r="F79" s="3" t="s">
        <v>4</v>
      </c>
      <c r="G79" s="3" t="s">
        <v>5</v>
      </c>
      <c r="H79" s="3" t="s">
        <v>6</v>
      </c>
      <c r="I79" s="3" t="s">
        <v>7</v>
      </c>
      <c r="J79" s="3" t="s">
        <v>8</v>
      </c>
      <c r="K79" s="3" t="s">
        <v>9</v>
      </c>
      <c r="L79" s="3" t="s">
        <v>10</v>
      </c>
      <c r="M79" s="2"/>
      <c r="N79" s="4"/>
      <c r="O79" s="3" t="s">
        <v>11</v>
      </c>
      <c r="P79" s="4"/>
      <c r="Q79" s="4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</row>
    <row r="81">
      <c r="A81" s="3" t="s">
        <v>12</v>
      </c>
      <c r="B81" s="2"/>
      <c r="C81" s="5"/>
      <c r="D81" s="5"/>
      <c r="E81" s="5"/>
      <c r="F81" s="5"/>
      <c r="G81" s="5"/>
      <c r="H81" s="5"/>
      <c r="I81" s="5"/>
      <c r="J81" s="5"/>
      <c r="K81" s="5"/>
      <c r="L81" s="5"/>
      <c r="M81" s="2"/>
      <c r="N81" s="3" t="s">
        <v>13</v>
      </c>
      <c r="O81" s="7" t="str">
        <f>IF(AND(C82="",AND(D82="",AND(E82="",AND(F82="",AND(G82="",AND(H82="",AND(I82="",AND(J82="",AND(K82="",L82=""))))))))),"",IF(((IF(C82="",1,IF(C82&gt;0,(C82/100)+1,(100/((-1)*C82))+1)))*(IF(D82="",1,IF(D82&gt;0,(D82/100)+1,(100/((-1)*D82))+1)))*(IF(E82="",1,IF(E82&gt;0,(E82/100)+1,(100/((-1)*E82))+1)))*(IF(F82="",1,IF(F82&gt;0,(F82/100)+1,(100/((-1)*F82))+1)))*(IF(G82="",1,IF(G82&gt;0,(G82/100)+1,(100/((-1)*G82))+1)))*(IF(H82="",1,IF(H82&gt;0,(H82/100)+1,(100/((-1)*H82))+1)))*(IF(I82="",1,IF(I82&gt;0,(I82/100)+1,(100/((-1)*I82))+1)))*(IF(J82="",1,IF(J82&gt;0,(J82/100)+1,(100/((-1)*J82))+1)))*(IF(K82="",1,IF(K82&gt;0,(K82/100)+1,(100/((-1)*K82))+1)))*(IF(L82="",1,IF(L82&gt;0,(L82/100)+1,(100/((-1)*L82))+1))))&lt;2,((-100)/(((IF(C82="",1,IF(C82&gt;0,(C82/100)+1,(100/((-1)*C82))+1)))*(IF(D82="",1,IF(D82&gt;0,(D82/100)+1,(100/((-1)*D82))+1)))*(IF(E82="",1,IF(E82&gt;0,(E82/100)+1,(100/((-1)*E82))+1)))*(IF(F82="",1,IF(F82&gt;0,(F82/100)+1,(100/((-1)*F82))+1)))*(IF(G82="",1,IF(G82&gt;0,(G82/100)+1,(100/((-1)*G82))+1)))*(IF(H82="",1,IF(H82&gt;0,(H82/100)+1,(100/((-1)*H82))+1)))*(IF(I82="",1,IF(I82&gt;0,(I82/100)+1,(100/((-1)*I82))+1)))*(IF(J82="",1,IF(J82&gt;0,(J82/100)+1,(100/((-1)*J82))+1)))*(IF(K82="",1,IF(K82&gt;0,(K82/100)+1,(100/((-1)*K82))+1)))*(IF(L82="",1,IF(L82&gt;0,(L82/100)+1,(100/((-1)*L82))+1))))-1)),((((IF(C82="",1,IF(C82&gt;0,(C82/100)+1,(100/((-1)*C82))+1)))*(IF(D82="",1,IF(D82&gt;0,(D82/100)+1,(100/((-1)*D82))+1)))*(IF(E82="",1,IF(E82&gt;0,(E82/100)+1,(100/((-1)*E82))+1)))*(IF(F82="",1,IF(F82&gt;0,(F82/100)+1,(100/((-1)*F82))+1)))*(IF(G82="",1,IF(G82&gt;0,(G82/100)+1,(100/((-1)*G82))+1)))*(IF(H82="",1,IF(H82&gt;0,(H82/100)+1,(100/((-1)*H82))+1)))*(IF(I82="",1,IF(I82&gt;0,(I82/100)+1,(100/((-1)*I82))+1)))*(IF(J82="",1,IF(J82&gt;0,(J82/100)+1,(100/((-1)*J82))+1)))*(IF(K82="",1,IF(K82&gt;0,(K82/100)+1,(100/((-1)*K82))+1)))*(IF(L82="",1,IF(L82&gt;0,(L82/100)+1,(100/((-1)*L82))+1))))-1)*(100))))</f>
        <v/>
      </c>
      <c r="P81" s="4"/>
      <c r="Q81" s="8" t="s">
        <v>35</v>
      </c>
    </row>
    <row r="82">
      <c r="A82" s="3" t="s">
        <v>13</v>
      </c>
      <c r="B82" s="2"/>
      <c r="C82" s="5"/>
      <c r="D82" s="5"/>
      <c r="E82" s="5"/>
      <c r="F82" s="5"/>
      <c r="G82" s="5"/>
      <c r="H82" s="5"/>
      <c r="I82" s="5"/>
      <c r="J82" s="5"/>
      <c r="K82" s="5"/>
      <c r="L82" s="5"/>
      <c r="M82" s="2">
        <v>6.0</v>
      </c>
      <c r="N82" s="3" t="s">
        <v>36</v>
      </c>
      <c r="O82" s="10" t="str">
        <f>IF(AND(C82="",AND(D82="",AND(E82="",AND(F82="",AND(G82="",AND(H82="",AND(I82="",AND(J82="",AND(K82="",L82=""))))))))),"",10+IF((IF(((IF(C82="",1,IF(C82&gt;0,(C82/100)+1,(100/((-1)*C82))+1)))*(IF(D82="",1,IF(D82&gt;0,(D82/100)+1,(100/((-1)*D82))+1)))*(IF(E82="",1,IF(E82&gt;0,(E82/100)+1,(100/((-1)*E82))+1)))*(IF(F82="",1,IF(F82&gt;0,(F82/100)+1,(100/((-1)*F82))+1)))*(IF(G82="",1,IF(G82&gt;0,(G82/100)+1,(100/((-1)*G82))+1)))*(IF(H82="",1,IF(H82&gt;0,(H82/100)+1,(100/((-1)*H82))+1)))*(IF(I82="",1,IF(I82&gt;0,(I82/100)+1,(100/((-1)*I82))+1)))*(IF(J82="",1,IF(J82&gt;0,(J82/100)+1,(100/((-1)*J82))+1)))*(IF(K82="",1,IF(K82&gt;0,(K82/100)+1,(100/((-1)*K82))+1)))*(IF(L82="",1,IF(L82&gt;0,(L82/100)+1,(100/((-1)*L82))+1))))&lt;2,((-100)/(((IF(C82="",1,IF(C82&gt;0,(C82/100)+1,(100/((-1)*C82))+1)))*(IF(D82="",1,IF(D82&gt;0,(D82/100)+1,(100/((-1)*D82))+1)))*(IF(E82="",1,IF(E82&gt;0,(E82/100)+1,(100/((-1)*E82))+1)))*(IF(F82="",1,IF(F82&gt;0,(F82/100)+1,(100/((-1)*F82))+1)))*(IF(G82="",1,IF(G82&gt;0,(G82/100)+1,(100/((-1)*G82))+1)))*(IF(H82="",1,IF(H82&gt;0,(H82/100)+1,(100/((-1)*H82))+1)))*(IF(I82="",1,IF(I82&gt;0,(I82/100)+1,(100/((-1)*I82))+1)))*(IF(J82="",1,IF(J82&gt;0,(J82/100)+1,(100/((-1)*J82))+1)))*(IF(K82="",1,IF(K82&gt;0,(K82/100)+1,(100/((-1)*K82))+1)))*(IF(L82="",1,IF(L82&gt;0,(L82/100)+1,(100/((-1)*L82))+1))))-1)),((((IF(C82="",1,IF(C82&gt;0,(C82/100)+1,(100/((-1)*C82))+1)))*(IF(D82="",1,IF(D82&gt;0,(D82/100)+1,(100/((-1)*D82))+1)))*(IF(E82="",1,IF(E82&gt;0,(E82/100)+1,(100/((-1)*E82))+1)))*(IF(F82="",1,IF(F82&gt;0,(F82/100)+1,(100/((-1)*F82))+1)))*(IF(G82="",1,IF(G82&gt;0,(G82/100)+1,(100/((-1)*G82))+1)))*(IF(H82="",1,IF(H82&gt;0,(H82/100)+1,(100/((-1)*H82))+1)))*(IF(I82="",1,IF(I82&gt;0,(I82/100)+1,(100/((-1)*I82))+1)))*(IF(J82="",1,IF(J82&gt;0,(J82/100)+1,(100/((-1)*J82))+1)))*(IF(K82="",1,IF(K82&gt;0,(K82/100)+1,(100/((-1)*K82))+1)))*(IF(L82="",1,IF(L82&gt;0,(L82/100)+1,(100/((-1)*L82))+1))))-1)*(100))))&lt;0,(((-100)/((IF(((IF(C82="",1,IF(C82&gt;0,(C82/100)+1,(100/((-1)*C82))+1)))*(IF(D82="",1,IF(D82&gt;0,(D82/100)+1,(100/((-1)*D82))+1)))*(IF(E82="",1,IF(E82&gt;0,(E82/100)+1,(100/((-1)*E82))+1)))*(IF(F82="",1,IF(F82&gt;0,(F82/100)+1,(100/((-1)*F82))+1)))*(IF(G82="",1,IF(G82&gt;0,(G82/100)+1,(100/((-1)*G82))+1)))*(IF(H82="",1,IF(H82&gt;0,(H82/100)+1,(100/((-1)*H82))+1)))*(IF(I82="",1,IF(I82&gt;0,(I82/100)+1,(100/((-1)*I82))+1)))*(IF(J82="",1,IF(J82&gt;0,(J82/100)+1,(100/((-1)*J82))+1)))*(IF(K82="",1,IF(K82&gt;0,(K82/100)+1,(100/((-1)*K82))+1)))*(IF(L82="",1,IF(L82&gt;0,(L82/100)+1,(100/((-1)*L82))+1))))&lt;2,((-100)/(((IF(C82="",1,IF(C82&gt;0,(C82/100)+1,(100/((-1)*C82))+1)))*(IF(D82="",1,IF(D82&gt;0,(D82/100)+1,(100/((-1)*D82))+1)))*(IF(E82="",1,IF(E82&gt;0,(E82/100)+1,(100/((-1)*E82))+1)))*(IF(F82="",1,IF(F82&gt;0,(F82/100)+1,(100/((-1)*F82))+1)))*(IF(G82="",1,IF(G82&gt;0,(G82/100)+1,(100/((-1)*G82))+1)))*(IF(H82="",1,IF(H82&gt;0,(H82/100)+1,(100/((-1)*H82))+1)))*(IF(I82="",1,IF(I82&gt;0,(I82/100)+1,(100/((-1)*I82))+1)))*(IF(J82="",1,IF(J82&gt;0,(J82/100)+1,(100/((-1)*J82))+1)))*(IF(K82="",1,IF(K82&gt;0,(K82/100)+1,(100/((-1)*K82))+1)))*(IF(L82="",1,IF(L82&gt;0,(L82/100)+1,(100/((-1)*L82))+1))))-1)),((((IF(C82="",1,IF(C82&gt;0,(C82/100)+1,(100/((-1)*C82))+1)))*(IF(D82="",1,IF(D82&gt;0,(D82/100)+1,(100/((-1)*D82))+1)))*(IF(E82="",1,IF(E82&gt;0,(E82/100)+1,(100/((-1)*E82))+1)))*(IF(F82="",1,IF(F82&gt;0,(F82/100)+1,(100/((-1)*F82))+1)))*(IF(G82="",1,IF(G82&gt;0,(G82/100)+1,(100/((-1)*G82))+1)))*(IF(H82="",1,IF(H82&gt;0,(H82/100)+1,(100/((-1)*H82))+1)))*(IF(I82="",1,IF(I82&gt;0,(I82/100)+1,(100/((-1)*I82))+1)))*(IF(J82="",1,IF(J82&gt;0,(J82/100)+1,(100/((-1)*J82))+1)))*(IF(K82="",1,IF(K82&gt;0,(K82/100)+1,(100/((-1)*K82))+1)))*(IF(L82="",1,IF(L82&gt;0,(L82/100)+1,(100/((-1)*L82))+1))))-1)*(100))))))*10),(((IF(((IF(C82="",1,IF(C82&gt;0,(C82/100)+1,(100/((-1)*C82))+1)))*(IF(D82="",1,IF(D82&gt;0,(D82/100)+1,(100/((-1)*D82))+1)))*(IF(E82="",1,IF(E82&gt;0,(E82/100)+1,(100/((-1)*E82))+1)))*(IF(F82="",1,IF(F82&gt;0,(F82/100)+1,(100/((-1)*F82))+1)))*(IF(G82="",1,IF(G82&gt;0,(G82/100)+1,(100/((-1)*G82))+1)))*(IF(H82="",1,IF(H82&gt;0,(H82/100)+1,(100/((-1)*H82))+1)))*(IF(I82="",1,IF(I82&gt;0,(I82/100)+1,(100/((-1)*I82))+1)))*(IF(J82="",1,IF(J82&gt;0,(J82/100)+1,(100/((-1)*J82))+1)))*(IF(K82="",1,IF(K82&gt;0,(K82/100)+1,(100/((-1)*K82))+1)))*(IF(L82="",1,IF(L82&gt;0,(L82/100)+1,(100/((-1)*L82))+1))))&lt;2,((-100)/(((IF(C82="",1,IF(C82&gt;0,(C82/100)+1,(100/((-1)*C82))+1)))*(IF(D82="",1,IF(D82&gt;0,(D82/100)+1,(100/((-1)*D82))+1)))*(IF(E82="",1,IF(E82&gt;0,(E82/100)+1,(100/((-1)*E82))+1)))*(IF(F82="",1,IF(F82&gt;0,(F82/100)+1,(100/((-1)*F82))+1)))*(IF(G82="",1,IF(G82&gt;0,(G82/100)+1,(100/((-1)*G82))+1)))*(IF(H82="",1,IF(H82&gt;0,(H82/100)+1,(100/((-1)*H82))+1)))*(IF(I82="",1,IF(I82&gt;0,(I82/100)+1,(100/((-1)*I82))+1)))*(IF(J82="",1,IF(J82&gt;0,(J82/100)+1,(100/((-1)*J82))+1)))*(IF(K82="",1,IF(K82&gt;0,(K82/100)+1,(100/((-1)*K82))+1)))*(IF(L82="",1,IF(L82&gt;0,(L82/100)+1,(100/((-1)*L82))+1))))-1)),((((IF(C82="",1,IF(C82&gt;0,(C82/100)+1,(100/((-1)*C82))+1)))*(IF(D82="",1,IF(D82&gt;0,(D82/100)+1,(100/((-1)*D82))+1)))*(IF(E82="",1,IF(E82&gt;0,(E82/100)+1,(100/((-1)*E82))+1)))*(IF(F82="",1,IF(F82&gt;0,(F82/100)+1,(100/((-1)*F82))+1)))*(IF(G82="",1,IF(G82&gt;0,(G82/100)+1,(100/((-1)*G82))+1)))*(IF(H82="",1,IF(H82&gt;0,(H82/100)+1,(100/((-1)*H82))+1)))*(IF(I82="",1,IF(I82&gt;0,(I82/100)+1,(100/((-1)*I82))+1)))*(IF(J82="",1,IF(J82&gt;0,(J82/100)+1,(100/((-1)*J82))+1)))*(IF(K82="",1,IF(K82&gt;0,(K82/100)+1,(100/((-1)*K82))+1)))*(IF(L82="",1,IF(L82&gt;0,(L82/100)+1,(100/((-1)*L82))+1))))-1)*(100))))/100)*10)))</f>
        <v/>
      </c>
      <c r="P82" s="4"/>
      <c r="Q82" s="4"/>
    </row>
    <row r="83">
      <c r="A83" s="3" t="s">
        <v>37</v>
      </c>
      <c r="B83" s="2"/>
      <c r="C83" s="5"/>
      <c r="D83" s="5"/>
      <c r="E83" s="5"/>
      <c r="F83" s="5"/>
      <c r="G83" s="5"/>
      <c r="H83" s="5"/>
      <c r="I83" s="5"/>
      <c r="J83" s="5"/>
      <c r="K83" s="5"/>
      <c r="L83" s="5"/>
      <c r="M83" s="2"/>
      <c r="N83" s="4"/>
      <c r="O83" s="4"/>
      <c r="P83" s="4"/>
      <c r="Q83" s="4"/>
    </row>
    <row r="84">
      <c r="A84" s="3" t="s">
        <v>48</v>
      </c>
      <c r="B84" s="2"/>
      <c r="C84" s="5"/>
      <c r="D84" s="5"/>
      <c r="E84" s="5"/>
      <c r="F84" s="5"/>
      <c r="G84" s="5"/>
      <c r="H84" s="11"/>
      <c r="I84" s="5"/>
      <c r="J84" s="5"/>
      <c r="K84" s="5"/>
      <c r="L84" s="11"/>
      <c r="M84" s="2"/>
      <c r="N84" s="4"/>
      <c r="O84" s="3" t="s">
        <v>56</v>
      </c>
      <c r="P84" s="3" t="s">
        <v>57</v>
      </c>
      <c r="Q84" s="4"/>
    </row>
    <row r="85">
      <c r="A85" s="3" t="s">
        <v>59</v>
      </c>
      <c r="B85" s="2"/>
      <c r="C85" s="5"/>
      <c r="D85" s="5"/>
      <c r="E85" s="5"/>
      <c r="F85" s="5"/>
      <c r="G85" s="5"/>
      <c r="H85" s="5"/>
      <c r="I85" s="5"/>
      <c r="J85" s="5"/>
      <c r="K85" s="5"/>
      <c r="L85" s="5"/>
      <c r="M85" s="2"/>
      <c r="N85" s="3" t="s">
        <v>65</v>
      </c>
      <c r="O85" s="12" t="str">
        <f>IFERROR(__xludf.DUMMYFUNCTION("IF(OR(COUNTA(C82:L82) = 0, COUNTA(C85:L85) = 0), """", IFERROR(TEXTJOIN("", "", TRUE, FILTER(C79:L79, (C85:L85 = ""W"") * (C82:L82 = MAX(FILTER(C82:L82, C85:L85 = ""W""))))), """"))"),"")</f>
        <v/>
      </c>
      <c r="P85" s="12" t="str">
        <f>IFERROR(__xludf.DUMMYFUNCTION("IF(COUNTA(C90:L90) = 0, """", IFERROR(TEXTJOIN("", "", TRUE, FILTER(C79:L79, C90:L90 = MAX(C90:L90))), """"))"),"")</f>
        <v/>
      </c>
      <c r="Q85" s="4"/>
    </row>
    <row r="86">
      <c r="A86" s="1" t="s">
        <v>81</v>
      </c>
      <c r="B86" s="2"/>
      <c r="C86" s="4" t="str">
        <f t="shared" ref="C86:L86" si="25">IF(OR(C82="",C85=""),"",C73+COUNTIF(C85,"W"))</f>
        <v/>
      </c>
      <c r="D86" s="4" t="str">
        <f t="shared" si="25"/>
        <v/>
      </c>
      <c r="E86" s="4" t="str">
        <f t="shared" si="25"/>
        <v/>
      </c>
      <c r="F86" s="4" t="str">
        <f t="shared" si="25"/>
        <v/>
      </c>
      <c r="G86" s="4" t="str">
        <f t="shared" si="25"/>
        <v/>
      </c>
      <c r="H86" s="4" t="str">
        <f t="shared" si="25"/>
        <v/>
      </c>
      <c r="I86" s="4" t="str">
        <f t="shared" si="25"/>
        <v/>
      </c>
      <c r="J86" s="4" t="str">
        <f t="shared" si="25"/>
        <v/>
      </c>
      <c r="K86" s="4" t="str">
        <f t="shared" si="25"/>
        <v/>
      </c>
      <c r="L86" s="4" t="str">
        <f t="shared" si="25"/>
        <v/>
      </c>
      <c r="M86" s="2"/>
      <c r="N86" s="3" t="s">
        <v>82</v>
      </c>
      <c r="O86" s="4" t="str">
        <f>IFERROR(__xludf.DUMMYFUNCTION("IF(OR(COUNTA(C82:L82) = 0, COUNTA(C85:L85) = 0), """", IFERROR(TEXTJOIN("", "", TRUE, FILTER(C79:L79, (C85:L85 = ""L"") * (C82:L82 = MIN(FILTER(C82:L82, C85:L85 = ""L""))))), """"))"),"")</f>
        <v/>
      </c>
      <c r="P86" s="12" t="str">
        <f>IFERROR(__xludf.DUMMYFUNCTION("IF(COUNTA(C90:L90) = 0, """", IFERROR(TEXTJOIN("", "", TRUE, FILTER(C79:L79, C90:L90 = MIN(C90:L90))), """"))"),"")</f>
        <v/>
      </c>
      <c r="Q86" s="4"/>
    </row>
    <row r="87">
      <c r="A87" s="1" t="s">
        <v>83</v>
      </c>
      <c r="B87" s="2"/>
      <c r="C87" s="27" t="str">
        <f t="shared" ref="C87:L87" si="26">IF(OR(C82="",C85=""),"",C74+COUNTIF(C85,"L"))</f>
        <v/>
      </c>
      <c r="D87" s="27" t="str">
        <f t="shared" si="26"/>
        <v/>
      </c>
      <c r="E87" s="27" t="str">
        <f t="shared" si="26"/>
        <v/>
      </c>
      <c r="F87" s="27" t="str">
        <f t="shared" si="26"/>
        <v/>
      </c>
      <c r="G87" s="27" t="str">
        <f t="shared" si="26"/>
        <v/>
      </c>
      <c r="H87" s="27" t="str">
        <f t="shared" si="26"/>
        <v/>
      </c>
      <c r="I87" s="27" t="str">
        <f t="shared" si="26"/>
        <v/>
      </c>
      <c r="J87" s="27" t="str">
        <f t="shared" si="26"/>
        <v/>
      </c>
      <c r="K87" s="27" t="str">
        <f t="shared" si="26"/>
        <v/>
      </c>
      <c r="L87" s="27" t="str">
        <f t="shared" si="26"/>
        <v/>
      </c>
      <c r="M87" s="2"/>
      <c r="N87" s="3" t="s">
        <v>84</v>
      </c>
      <c r="O87" s="12" t="str">
        <f>IFERROR(__xludf.DUMMYFUNCTION("IF(COUNTA(C82:L82) = 0, """", IFERROR(TEXTJOIN("", "", TRUE, FILTER(C79:L79, C82:L82 = MAX(C82:L82))), """"))"),"")</f>
        <v/>
      </c>
      <c r="P87" s="4" t="str">
        <f>IFERROR(__xludf.DUMMYFUNCTION("IF(COUNTA(C82:L82) = 0, """", IFERROR(TEXTJOIN("", "", TRUE, FILTER(C79:L79, C89:L89 = MAX(C89:L89))), """"))"),"")</f>
        <v/>
      </c>
      <c r="Q87" s="4"/>
    </row>
    <row r="88">
      <c r="A88" s="3" t="s">
        <v>85</v>
      </c>
      <c r="B88" s="2"/>
      <c r="C88" s="24" t="str">
        <f t="shared" ref="C88:L88" si="27">IF(OR(C82="",C85=""),"",(C86/(C86+C87)))</f>
        <v/>
      </c>
      <c r="D88" s="24" t="str">
        <f t="shared" si="27"/>
        <v/>
      </c>
      <c r="E88" s="24" t="str">
        <f t="shared" si="27"/>
        <v/>
      </c>
      <c r="F88" s="24" t="str">
        <f t="shared" si="27"/>
        <v/>
      </c>
      <c r="G88" s="24" t="str">
        <f t="shared" si="27"/>
        <v/>
      </c>
      <c r="H88" s="24" t="str">
        <f t="shared" si="27"/>
        <v/>
      </c>
      <c r="I88" s="24" t="str">
        <f t="shared" si="27"/>
        <v/>
      </c>
      <c r="J88" s="24" t="str">
        <f t="shared" si="27"/>
        <v/>
      </c>
      <c r="K88" s="24" t="str">
        <f t="shared" si="27"/>
        <v/>
      </c>
      <c r="L88" s="24" t="str">
        <f t="shared" si="27"/>
        <v/>
      </c>
      <c r="M88" s="14"/>
      <c r="N88" s="3" t="s">
        <v>86</v>
      </c>
      <c r="O88" s="4" t="str">
        <f>IFERROR(__xludf.DUMMYFUNCTION("IF(COUNTA(C82:L82) = 0, """", IFERROR(TEXTJOIN("", "", TRUE, FILTER(C79:L79, C82:L82 = MIN(C82:L82))), """"))"),"")</f>
        <v/>
      </c>
      <c r="P88" s="4" t="str">
        <f>IFERROR(__xludf.DUMMYFUNCTION("IF(COUNTA(C82:L82) = 0, """", IFERROR(TEXTJOIN("", "", TRUE, FILTER(C79:L79, C89:L89 = MIN(C89:L89))), """"))"),"")</f>
        <v/>
      </c>
      <c r="Q88" s="4"/>
    </row>
    <row r="89">
      <c r="A89" s="3" t="s">
        <v>87</v>
      </c>
      <c r="B89" s="2"/>
      <c r="C89" s="25" t="str">
        <f t="shared" ref="C89:L89" si="28">IF(C82="","",IF(((IF(C82 &lt;0,((-100/C82)+1),((C82/100)+1))+(IF(C76&lt;0,((-100/C76)+1),((C76/100)+1)))*(C73+C74))/(C73+C74+1))&lt;2,(-100/(((IF(C82 &lt;0,((-100/C82)+1),((C82/100)+1))+(IF(C76&lt;0,((-100/C76)+1),((C76/100)+1)))*(C73+C74))/(C73+C74+1))-1)),(((IF(C82 &lt;0,((-100/C82)+1),((C82/100)+1))+(IF(C76&lt;0,((-100/C76)+1),((C76/100)+1)))*(C73+C74))/(C73+C74+1))-1)*100))</f>
        <v/>
      </c>
      <c r="D89" s="25" t="str">
        <f t="shared" si="28"/>
        <v/>
      </c>
      <c r="E89" s="25" t="str">
        <f t="shared" si="28"/>
        <v/>
      </c>
      <c r="F89" s="25" t="str">
        <f t="shared" si="28"/>
        <v/>
      </c>
      <c r="G89" s="25" t="str">
        <f t="shared" si="28"/>
        <v/>
      </c>
      <c r="H89" s="25" t="str">
        <f t="shared" si="28"/>
        <v/>
      </c>
      <c r="I89" s="25" t="str">
        <f t="shared" si="28"/>
        <v/>
      </c>
      <c r="J89" s="25" t="str">
        <f t="shared" si="28"/>
        <v/>
      </c>
      <c r="K89" s="25" t="str">
        <f t="shared" si="28"/>
        <v/>
      </c>
      <c r="L89" s="25" t="str">
        <f t="shared" si="28"/>
        <v/>
      </c>
      <c r="M89" s="14"/>
      <c r="N89" s="4"/>
      <c r="O89" s="12"/>
      <c r="P89" s="12"/>
      <c r="Q89" s="4"/>
    </row>
    <row r="90">
      <c r="A90" s="16" t="s">
        <v>88</v>
      </c>
      <c r="B90" s="2"/>
      <c r="C90" s="26" t="str">
        <f>IFERROR(__xludf.DUMMYFUNCTION("IF(OR(C82="""",C85=""""),"""",IF(REGEXMATCH(C85,""W""),IF(C82&lt;0,((-100/C82))*10+C77,((C82/100)*10+C77)),-10+C77))"),"")</f>
        <v/>
      </c>
      <c r="D90" s="26" t="str">
        <f>IFERROR(__xludf.DUMMYFUNCTION("IF(OR(D82="""",D85=""""),"""",IF(REGEXMATCH(D85,""W""),IF(D82&lt;0,((-100/D82))*10+D77,((D82/100)*10+D77)),-10+D77))"),"")</f>
        <v/>
      </c>
      <c r="E90" s="26" t="str">
        <f>IFERROR(__xludf.DUMMYFUNCTION("IF(OR(E82="""",E85=""""),"""",IF(REGEXMATCH(E85,""W""),IF(E82&lt;0,((-100/E82))*10+E77,((E82/100)*10+E77)),-10+E77))"),"")</f>
        <v/>
      </c>
      <c r="F90" s="26" t="str">
        <f>IFERROR(__xludf.DUMMYFUNCTION("IF(OR(F82="""",F85=""""),"""",IF(REGEXMATCH(F85,""W""),IF(F82&lt;0,((-100/F82))*10+F77,((F82/100)*10+F77)),-10+F77))"),"")</f>
        <v/>
      </c>
      <c r="G90" s="26" t="str">
        <f>IFERROR(__xludf.DUMMYFUNCTION("IF(OR(G82="""",G85=""""),"""",IF(REGEXMATCH(G85,""W""),IF(G82&lt;0,((-100/G82))*10+G77,((G82/100)*10+G77)),-10+G77))"),"")</f>
        <v/>
      </c>
      <c r="H90" s="26" t="str">
        <f>IFERROR(__xludf.DUMMYFUNCTION("IF(OR(H82="""",H85=""""),"""",IF(REGEXMATCH(H85,""W""),IF(H82&lt;0,((-100/H82))*10+H77,((H82/100)*10+H77)),-10+H77))"),"")</f>
        <v/>
      </c>
      <c r="I90" s="26" t="str">
        <f>IFERROR(__xludf.DUMMYFUNCTION("IF(OR(I82="""",I85=""""),"""",IF(REGEXMATCH(I85,""W""),IF(I82&lt;0,((-100/I82))*10+I77,((I82/100)*10+I77)),-10+I77))"),"")</f>
        <v/>
      </c>
      <c r="J90" s="26" t="str">
        <f>IFERROR(__xludf.DUMMYFUNCTION("IF(OR(J82="""",J85=""""),"""",IF(REGEXMATCH(J85,""W""),IF(J82&lt;0,((-100/J82))*10+J77,((J82/100)*10+J77)),-10+J77))"),"")</f>
        <v/>
      </c>
      <c r="K90" s="26" t="str">
        <f>IFERROR(__xludf.DUMMYFUNCTION("IF(OR(K82="""",K85=""""),"""",IF(REGEXMATCH(K85,""W""),IF(K82&lt;0,((-100/K82))*10+K77,((K82/100)*10+K77)),-10+K77))"),"")</f>
        <v/>
      </c>
      <c r="L90" s="26" t="str">
        <f>IFERROR(__xludf.DUMMYFUNCTION("IF(OR(L82="""",L85=""""),"""",IF(REGEXMATCH(L85,""W""),IF(L82&lt;0,((-100/L82))*10+L77,((L82/100)*10+L77)),-10+L77))"),"")</f>
        <v/>
      </c>
      <c r="M90" s="14"/>
      <c r="N90" s="16" t="s">
        <v>89</v>
      </c>
      <c r="O90" s="10" t="str">
        <f>IFERROR(__xludf.DUMMYFUNCTION("IF(AND(C90="""",AND(D90="""",AND(E90="""",AND(F90="""",AND(G90="""",AND(H90="""",AND(I90="""",AND(J90="""",AND(K90="""",L90=""""))))))))),"""",(IF(C85="""",0,IF(REGEXMATCH(C85,""W""),IF(C82&lt;0,((-100/C82))*10,((C82/100)*10)),-10))+IF(D85="""",0,IF(REGEXMAT"&amp;"CH(D85,""W""),IF(D82&lt;0,((-100/D82))*10,((D82/100)*10)),-10))+IF(E85="""",0,IF(REGEXMATCH(E85,""W""),IF(E82&lt;0,((-100/E82))*10,((E82/100)*10)),-10))+IF(F85="""",0,IF(REGEXMATCH(F85,""W""),IF(F82&lt;0,((-100/F82))*10,((F82/100)*10)),-10))+IF(G85="""",0,IF(REGEX"&amp;"MATCH(G85,""W""),IF(G82&lt;0,((-100/G82))*10,((G82/100)*10)),-10))+IF(H85="""",0,IF(REGEXMATCH(H85,""W""),IF(H82&lt;0,((-100/H82))*10,((H82/100)*10)),-10))+IF(I85="""",0,IF(REGEXMATCH(I85,""W""),IF(I82&lt;0,((-100/I82))*10,((I82/100)*10)),-10))+IF(J85="""",0,IF(RE"&amp;"GEXMATCH(J85,""W""),IF(J82&lt;0,((-100/J82))*10,((J82/100)*10)),-10))+IF(K85="""",0,IF(REGEXMATCH(K85,""W""),IF(K82&lt;0,((-100/K82))*10,((K82/100)*10)),-10))+IF(L85="""",0,IF(REGEXMATCH(L85,""W""),IF(L82&lt;0,((-100/L82))*10,((L82/100)*10)),-10))))"),"")</f>
        <v/>
      </c>
      <c r="P90" s="10" t="str">
        <f>IFERROR(__xludf.DUMMYFUNCTION("IF(AND(C90="""",AND(D90="""",AND(E90="""",AND(F90="""",AND(G90="""",AND(H90="""",AND(I90="""",AND(J90="""",AND(K90="""",L90=""""))))))))),"""",(P77+IF(C85="""",0,IF(REGEXMATCH(C85,""W""),IF(C82&lt;0,((-100/C82))*10,((C82/100)*10)),-10))+IF(D85="""",0,IF(REGE"&amp;"XMATCH(D85,""W""),IF(D82&lt;0,((-100/D82))*10,((D82/100)*10)),-10))+IF(E85="""",0,IF(REGEXMATCH(E85,""W""),IF(E82&lt;0,((-100/E82))*10,((E82/100)*10)),-10))+IF(F85="""",0,IF(REGEXMATCH(F85,""W""),IF(F82&lt;0,((-100/F82))*10,((F82/100)*10)),-10))+IF(G85="""",0,IF(R"&amp;"EGEXMATCH(G85,""W""),IF(G82&lt;0,((-100/G82))*10,((G82/100)*10)),-10))+IF(H85="""",0,IF(REGEXMATCH(H85,""W""),IF(H82&lt;0,((-100/H82))*10,((H82/100)*10)),-10))+IF(I85="""",0,IF(REGEXMATCH(I85,""W""),IF(I82&lt;0,((-100/I82))*10,((I82/100)*10)),-10))+IF(J85="""",0,I"&amp;"F(REGEXMATCH(J85,""W""),IF(J82&lt;0,((-100/J82))*10,((J82/100)*10)),-10))+IF(K85="""",0,IF(REGEXMATCH(K85,""W""),IF(K82&lt;0,((-100/K82))*10,((K82/100)*10)),-10))+IF(L85="""",0,IF(REGEXMATCH(L85,""W""),IF(L82&lt;0,((-100/L82))*10,((L82/100)*10)),-10))))"),"")</f>
        <v/>
      </c>
      <c r="Q90" s="4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</row>
    <row r="92">
      <c r="A92" s="1" t="s">
        <v>160</v>
      </c>
      <c r="B92" s="2"/>
      <c r="C92" s="3" t="s">
        <v>1</v>
      </c>
      <c r="D92" s="3" t="s">
        <v>2</v>
      </c>
      <c r="E92" s="3" t="s">
        <v>3</v>
      </c>
      <c r="F92" s="3" t="s">
        <v>4</v>
      </c>
      <c r="G92" s="3" t="s">
        <v>5</v>
      </c>
      <c r="H92" s="3" t="s">
        <v>6</v>
      </c>
      <c r="I92" s="3" t="s">
        <v>7</v>
      </c>
      <c r="J92" s="3" t="s">
        <v>8</v>
      </c>
      <c r="K92" s="3" t="s">
        <v>9</v>
      </c>
      <c r="L92" s="3" t="s">
        <v>10</v>
      </c>
      <c r="M92" s="2"/>
      <c r="N92" s="4"/>
      <c r="O92" s="3" t="s">
        <v>11</v>
      </c>
      <c r="P92" s="4"/>
      <c r="Q92" s="4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>
      <c r="A94" s="3" t="s">
        <v>12</v>
      </c>
      <c r="B94" s="2"/>
      <c r="C94" s="5"/>
      <c r="D94" s="5"/>
      <c r="E94" s="5"/>
      <c r="F94" s="5"/>
      <c r="G94" s="5"/>
      <c r="H94" s="5"/>
      <c r="I94" s="5"/>
      <c r="J94" s="5"/>
      <c r="K94" s="5"/>
      <c r="L94" s="5"/>
      <c r="M94" s="2"/>
      <c r="N94" s="3" t="s">
        <v>13</v>
      </c>
      <c r="O94" s="7" t="str">
        <f>IF(AND(C95="",AND(D95="",AND(E95="",AND(F95="",AND(G95="",AND(H95="",AND(I95="",AND(J95="",AND(K95="",L95=""))))))))),"",IF(((IF(C95="",1,IF(C95&gt;0,(C95/100)+1,(100/((-1)*C95))+1)))*(IF(D95="",1,IF(D95&gt;0,(D95/100)+1,(100/((-1)*D95))+1)))*(IF(E95="",1,IF(E95&gt;0,(E95/100)+1,(100/((-1)*E95))+1)))*(IF(F95="",1,IF(F95&gt;0,(F95/100)+1,(100/((-1)*F95))+1)))*(IF(G95="",1,IF(G95&gt;0,(G95/100)+1,(100/((-1)*G95))+1)))*(IF(H95="",1,IF(H95&gt;0,(H95/100)+1,(100/((-1)*H95))+1)))*(IF(I95="",1,IF(I95&gt;0,(I95/100)+1,(100/((-1)*I95))+1)))*(IF(J95="",1,IF(J95&gt;0,(J95/100)+1,(100/((-1)*J95))+1)))*(IF(K95="",1,IF(K95&gt;0,(K95/100)+1,(100/((-1)*K95))+1)))*(IF(L95="",1,IF(L95&gt;0,(L95/100)+1,(100/((-1)*L95))+1))))&lt;2,((-100)/(((IF(C95="",1,IF(C95&gt;0,(C95/100)+1,(100/((-1)*C95))+1)))*(IF(D95="",1,IF(D95&gt;0,(D95/100)+1,(100/((-1)*D95))+1)))*(IF(E95="",1,IF(E95&gt;0,(E95/100)+1,(100/((-1)*E95))+1)))*(IF(F95="",1,IF(F95&gt;0,(F95/100)+1,(100/((-1)*F95))+1)))*(IF(G95="",1,IF(G95&gt;0,(G95/100)+1,(100/((-1)*G95))+1)))*(IF(H95="",1,IF(H95&gt;0,(H95/100)+1,(100/((-1)*H95))+1)))*(IF(I95="",1,IF(I95&gt;0,(I95/100)+1,(100/((-1)*I95))+1)))*(IF(J95="",1,IF(J95&gt;0,(J95/100)+1,(100/((-1)*J95))+1)))*(IF(K95="",1,IF(K95&gt;0,(K95/100)+1,(100/((-1)*K95))+1)))*(IF(L95="",1,IF(L95&gt;0,(L95/100)+1,(100/((-1)*L95))+1))))-1)),((((IF(C95="",1,IF(C95&gt;0,(C95/100)+1,(100/((-1)*C95))+1)))*(IF(D95="",1,IF(D95&gt;0,(D95/100)+1,(100/((-1)*D95))+1)))*(IF(E95="",1,IF(E95&gt;0,(E95/100)+1,(100/((-1)*E95))+1)))*(IF(F95="",1,IF(F95&gt;0,(F95/100)+1,(100/((-1)*F95))+1)))*(IF(G95="",1,IF(G95&gt;0,(G95/100)+1,(100/((-1)*G95))+1)))*(IF(H95="",1,IF(H95&gt;0,(H95/100)+1,(100/((-1)*H95))+1)))*(IF(I95="",1,IF(I95&gt;0,(I95/100)+1,(100/((-1)*I95))+1)))*(IF(J95="",1,IF(J95&gt;0,(J95/100)+1,(100/((-1)*J95))+1)))*(IF(K95="",1,IF(K95&gt;0,(K95/100)+1,(100/((-1)*K95))+1)))*(IF(L95="",1,IF(L95&gt;0,(L95/100)+1,(100/((-1)*L95))+1))))-1)*(100))))</f>
        <v/>
      </c>
      <c r="P94" s="4"/>
      <c r="Q94" s="8" t="s">
        <v>35</v>
      </c>
    </row>
    <row r="95">
      <c r="A95" s="3" t="s">
        <v>13</v>
      </c>
      <c r="B95" s="2"/>
      <c r="C95" s="5"/>
      <c r="D95" s="5"/>
      <c r="E95" s="5"/>
      <c r="F95" s="5"/>
      <c r="G95" s="5"/>
      <c r="H95" s="5"/>
      <c r="I95" s="5"/>
      <c r="J95" s="5"/>
      <c r="K95" s="5"/>
      <c r="L95" s="5"/>
      <c r="M95" s="2">
        <v>7.0</v>
      </c>
      <c r="N95" s="3" t="s">
        <v>36</v>
      </c>
      <c r="O95" s="10" t="str">
        <f>IF(AND(C95="",AND(D95="",AND(E95="",AND(F95="",AND(G95="",AND(H95="",AND(I95="",AND(J95="",AND(K95="",L95=""))))))))),"",10+IF((IF(((IF(C95="",1,IF(C95&gt;0,(C95/100)+1,(100/((-1)*C95))+1)))*(IF(D95="",1,IF(D95&gt;0,(D95/100)+1,(100/((-1)*D95))+1)))*(IF(E95="",1,IF(E95&gt;0,(E95/100)+1,(100/((-1)*E95))+1)))*(IF(F95="",1,IF(F95&gt;0,(F95/100)+1,(100/((-1)*F95))+1)))*(IF(G95="",1,IF(G95&gt;0,(G95/100)+1,(100/((-1)*G95))+1)))*(IF(H95="",1,IF(H95&gt;0,(H95/100)+1,(100/((-1)*H95))+1)))*(IF(I95="",1,IF(I95&gt;0,(I95/100)+1,(100/((-1)*I95))+1)))*(IF(J95="",1,IF(J95&gt;0,(J95/100)+1,(100/((-1)*J95))+1)))*(IF(K95="",1,IF(K95&gt;0,(K95/100)+1,(100/((-1)*K95))+1)))*(IF(L95="",1,IF(L95&gt;0,(L95/100)+1,(100/((-1)*L95))+1))))&lt;2,((-100)/(((IF(C95="",1,IF(C95&gt;0,(C95/100)+1,(100/((-1)*C95))+1)))*(IF(D95="",1,IF(D95&gt;0,(D95/100)+1,(100/((-1)*D95))+1)))*(IF(E95="",1,IF(E95&gt;0,(E95/100)+1,(100/((-1)*E95))+1)))*(IF(F95="",1,IF(F95&gt;0,(F95/100)+1,(100/((-1)*F95))+1)))*(IF(G95="",1,IF(G95&gt;0,(G95/100)+1,(100/((-1)*G95))+1)))*(IF(H95="",1,IF(H95&gt;0,(H95/100)+1,(100/((-1)*H95))+1)))*(IF(I95="",1,IF(I95&gt;0,(I95/100)+1,(100/((-1)*I95))+1)))*(IF(J95="",1,IF(J95&gt;0,(J95/100)+1,(100/((-1)*J95))+1)))*(IF(K95="",1,IF(K95&gt;0,(K95/100)+1,(100/((-1)*K95))+1)))*(IF(L95="",1,IF(L95&gt;0,(L95/100)+1,(100/((-1)*L95))+1))))-1)),((((IF(C95="",1,IF(C95&gt;0,(C95/100)+1,(100/((-1)*C95))+1)))*(IF(D95="",1,IF(D95&gt;0,(D95/100)+1,(100/((-1)*D95))+1)))*(IF(E95="",1,IF(E95&gt;0,(E95/100)+1,(100/((-1)*E95))+1)))*(IF(F95="",1,IF(F95&gt;0,(F95/100)+1,(100/((-1)*F95))+1)))*(IF(G95="",1,IF(G95&gt;0,(G95/100)+1,(100/((-1)*G95))+1)))*(IF(H95="",1,IF(H95&gt;0,(H95/100)+1,(100/((-1)*H95))+1)))*(IF(I95="",1,IF(I95&gt;0,(I95/100)+1,(100/((-1)*I95))+1)))*(IF(J95="",1,IF(J95&gt;0,(J95/100)+1,(100/((-1)*J95))+1)))*(IF(K95="",1,IF(K95&gt;0,(K95/100)+1,(100/((-1)*K95))+1)))*(IF(L95="",1,IF(L95&gt;0,(L95/100)+1,(100/((-1)*L95))+1))))-1)*(100))))&lt;0,(((-100)/((IF(((IF(C95="",1,IF(C95&gt;0,(C95/100)+1,(100/((-1)*C95))+1)))*(IF(D95="",1,IF(D95&gt;0,(D95/100)+1,(100/((-1)*D95))+1)))*(IF(E95="",1,IF(E95&gt;0,(E95/100)+1,(100/((-1)*E95))+1)))*(IF(F95="",1,IF(F95&gt;0,(F95/100)+1,(100/((-1)*F95))+1)))*(IF(G95="",1,IF(G95&gt;0,(G95/100)+1,(100/((-1)*G95))+1)))*(IF(H95="",1,IF(H95&gt;0,(H95/100)+1,(100/((-1)*H95))+1)))*(IF(I95="",1,IF(I95&gt;0,(I95/100)+1,(100/((-1)*I95))+1)))*(IF(J95="",1,IF(J95&gt;0,(J95/100)+1,(100/((-1)*J95))+1)))*(IF(K95="",1,IF(K95&gt;0,(K95/100)+1,(100/((-1)*K95))+1)))*(IF(L95="",1,IF(L95&gt;0,(L95/100)+1,(100/((-1)*L95))+1))))&lt;2,((-100)/(((IF(C95="",1,IF(C95&gt;0,(C95/100)+1,(100/((-1)*C95))+1)))*(IF(D95="",1,IF(D95&gt;0,(D95/100)+1,(100/((-1)*D95))+1)))*(IF(E95="",1,IF(E95&gt;0,(E95/100)+1,(100/((-1)*E95))+1)))*(IF(F95="",1,IF(F95&gt;0,(F95/100)+1,(100/((-1)*F95))+1)))*(IF(G95="",1,IF(G95&gt;0,(G95/100)+1,(100/((-1)*G95))+1)))*(IF(H95="",1,IF(H95&gt;0,(H95/100)+1,(100/((-1)*H95))+1)))*(IF(I95="",1,IF(I95&gt;0,(I95/100)+1,(100/((-1)*I95))+1)))*(IF(J95="",1,IF(J95&gt;0,(J95/100)+1,(100/((-1)*J95))+1)))*(IF(K95="",1,IF(K95&gt;0,(K95/100)+1,(100/((-1)*K95))+1)))*(IF(L95="",1,IF(L95&gt;0,(L95/100)+1,(100/((-1)*L95))+1))))-1)),((((IF(C95="",1,IF(C95&gt;0,(C95/100)+1,(100/((-1)*C95))+1)))*(IF(D95="",1,IF(D95&gt;0,(D95/100)+1,(100/((-1)*D95))+1)))*(IF(E95="",1,IF(E95&gt;0,(E95/100)+1,(100/((-1)*E95))+1)))*(IF(F95="",1,IF(F95&gt;0,(F95/100)+1,(100/((-1)*F95))+1)))*(IF(G95="",1,IF(G95&gt;0,(G95/100)+1,(100/((-1)*G95))+1)))*(IF(H95="",1,IF(H95&gt;0,(H95/100)+1,(100/((-1)*H95))+1)))*(IF(I95="",1,IF(I95&gt;0,(I95/100)+1,(100/((-1)*I95))+1)))*(IF(J95="",1,IF(J95&gt;0,(J95/100)+1,(100/((-1)*J95))+1)))*(IF(K95="",1,IF(K95&gt;0,(K95/100)+1,(100/((-1)*K95))+1)))*(IF(L95="",1,IF(L95&gt;0,(L95/100)+1,(100/((-1)*L95))+1))))-1)*(100))))))*10),(((IF(((IF(C95="",1,IF(C95&gt;0,(C95/100)+1,(100/((-1)*C95))+1)))*(IF(D95="",1,IF(D95&gt;0,(D95/100)+1,(100/((-1)*D95))+1)))*(IF(E95="",1,IF(E95&gt;0,(E95/100)+1,(100/((-1)*E95))+1)))*(IF(F95="",1,IF(F95&gt;0,(F95/100)+1,(100/((-1)*F95))+1)))*(IF(G95="",1,IF(G95&gt;0,(G95/100)+1,(100/((-1)*G95))+1)))*(IF(H95="",1,IF(H95&gt;0,(H95/100)+1,(100/((-1)*H95))+1)))*(IF(I95="",1,IF(I95&gt;0,(I95/100)+1,(100/((-1)*I95))+1)))*(IF(J95="",1,IF(J95&gt;0,(J95/100)+1,(100/((-1)*J95))+1)))*(IF(K95="",1,IF(K95&gt;0,(K95/100)+1,(100/((-1)*K95))+1)))*(IF(L95="",1,IF(L95&gt;0,(L95/100)+1,(100/((-1)*L95))+1))))&lt;2,((-100)/(((IF(C95="",1,IF(C95&gt;0,(C95/100)+1,(100/((-1)*C95))+1)))*(IF(D95="",1,IF(D95&gt;0,(D95/100)+1,(100/((-1)*D95))+1)))*(IF(E95="",1,IF(E95&gt;0,(E95/100)+1,(100/((-1)*E95))+1)))*(IF(F95="",1,IF(F95&gt;0,(F95/100)+1,(100/((-1)*F95))+1)))*(IF(G95="",1,IF(G95&gt;0,(G95/100)+1,(100/((-1)*G95))+1)))*(IF(H95="",1,IF(H95&gt;0,(H95/100)+1,(100/((-1)*H95))+1)))*(IF(I95="",1,IF(I95&gt;0,(I95/100)+1,(100/((-1)*I95))+1)))*(IF(J95="",1,IF(J95&gt;0,(J95/100)+1,(100/((-1)*J95))+1)))*(IF(K95="",1,IF(K95&gt;0,(K95/100)+1,(100/((-1)*K95))+1)))*(IF(L95="",1,IF(L95&gt;0,(L95/100)+1,(100/((-1)*L95))+1))))-1)),((((IF(C95="",1,IF(C95&gt;0,(C95/100)+1,(100/((-1)*C95))+1)))*(IF(D95="",1,IF(D95&gt;0,(D95/100)+1,(100/((-1)*D95))+1)))*(IF(E95="",1,IF(E95&gt;0,(E95/100)+1,(100/((-1)*E95))+1)))*(IF(F95="",1,IF(F95&gt;0,(F95/100)+1,(100/((-1)*F95))+1)))*(IF(G95="",1,IF(G95&gt;0,(G95/100)+1,(100/((-1)*G95))+1)))*(IF(H95="",1,IF(H95&gt;0,(H95/100)+1,(100/((-1)*H95))+1)))*(IF(I95="",1,IF(I95&gt;0,(I95/100)+1,(100/((-1)*I95))+1)))*(IF(J95="",1,IF(J95&gt;0,(J95/100)+1,(100/((-1)*J95))+1)))*(IF(K95="",1,IF(K95&gt;0,(K95/100)+1,(100/((-1)*K95))+1)))*(IF(L95="",1,IF(L95&gt;0,(L95/100)+1,(100/((-1)*L95))+1))))-1)*(100))))/100)*10)))</f>
        <v/>
      </c>
      <c r="P95" s="4"/>
      <c r="Q95" s="4"/>
    </row>
    <row r="96">
      <c r="A96" s="3" t="s">
        <v>37</v>
      </c>
      <c r="B96" s="2"/>
      <c r="C96" s="5"/>
      <c r="D96" s="5"/>
      <c r="E96" s="5"/>
      <c r="F96" s="5"/>
      <c r="G96" s="5"/>
      <c r="H96" s="5"/>
      <c r="I96" s="5"/>
      <c r="J96" s="5"/>
      <c r="K96" s="5"/>
      <c r="L96" s="5"/>
      <c r="M96" s="2"/>
      <c r="N96" s="4"/>
      <c r="O96" s="4"/>
      <c r="P96" s="4"/>
      <c r="Q96" s="4"/>
    </row>
    <row r="97">
      <c r="A97" s="3" t="s">
        <v>48</v>
      </c>
      <c r="B97" s="2"/>
      <c r="C97" s="5"/>
      <c r="D97" s="5"/>
      <c r="E97" s="5"/>
      <c r="F97" s="5"/>
      <c r="G97" s="5"/>
      <c r="H97" s="5"/>
      <c r="I97" s="5"/>
      <c r="J97" s="5"/>
      <c r="K97" s="5"/>
      <c r="L97" s="5"/>
      <c r="M97" s="2"/>
      <c r="N97" s="4"/>
      <c r="O97" s="3" t="s">
        <v>56</v>
      </c>
      <c r="P97" s="3" t="s">
        <v>57</v>
      </c>
      <c r="Q97" s="4"/>
    </row>
    <row r="98">
      <c r="A98" s="3" t="s">
        <v>59</v>
      </c>
      <c r="B98" s="2"/>
      <c r="C98" s="5"/>
      <c r="D98" s="5"/>
      <c r="E98" s="5"/>
      <c r="F98" s="5"/>
      <c r="G98" s="5"/>
      <c r="H98" s="5"/>
      <c r="I98" s="5"/>
      <c r="J98" s="5"/>
      <c r="K98" s="5"/>
      <c r="L98" s="5"/>
      <c r="M98" s="2"/>
      <c r="N98" s="3" t="s">
        <v>65</v>
      </c>
      <c r="O98" s="12" t="str">
        <f>IFERROR(__xludf.DUMMYFUNCTION("IF(OR(COUNTA(C95:L95) = 0, COUNTA(C98:L98) = 0), """", IFERROR(TEXTJOIN("", "", TRUE, FILTER(C92:L92, (C98:L98 = ""W"") * (C95:L95 = MAX(FILTER(C95:L95, C98:L98 = ""W""))))), """"))"),"")</f>
        <v/>
      </c>
      <c r="P98" s="12" t="str">
        <f>IFERROR(__xludf.DUMMYFUNCTION("IF(COUNTA(C103:L103) = 0, """", IFERROR(TEXTJOIN("", "", TRUE, FILTER(C92:L92, C103:L103 = MAX(C103:L103))), """"))"),"")</f>
        <v/>
      </c>
      <c r="Q98" s="4"/>
    </row>
    <row r="99">
      <c r="A99" s="1" t="s">
        <v>81</v>
      </c>
      <c r="B99" s="2"/>
      <c r="C99" s="4" t="str">
        <f t="shared" ref="C99:L99" si="29">IF(OR(C95="",C98=""),"",C86+COUNTIF(C98,"W"))</f>
        <v/>
      </c>
      <c r="D99" s="4" t="str">
        <f t="shared" si="29"/>
        <v/>
      </c>
      <c r="E99" s="4" t="str">
        <f t="shared" si="29"/>
        <v/>
      </c>
      <c r="F99" s="4" t="str">
        <f t="shared" si="29"/>
        <v/>
      </c>
      <c r="G99" s="4" t="str">
        <f t="shared" si="29"/>
        <v/>
      </c>
      <c r="H99" s="4" t="str">
        <f t="shared" si="29"/>
        <v/>
      </c>
      <c r="I99" s="4" t="str">
        <f t="shared" si="29"/>
        <v/>
      </c>
      <c r="J99" s="4" t="str">
        <f t="shared" si="29"/>
        <v/>
      </c>
      <c r="K99" s="4" t="str">
        <f t="shared" si="29"/>
        <v/>
      </c>
      <c r="L99" s="4" t="str">
        <f t="shared" si="29"/>
        <v/>
      </c>
      <c r="M99" s="2"/>
      <c r="N99" s="3" t="s">
        <v>82</v>
      </c>
      <c r="O99" s="4" t="str">
        <f>IFERROR(__xludf.DUMMYFUNCTION("IF(OR(COUNTA(C95:L95) = 0, COUNTA(C98:L98) = 0), """", IFERROR(TEXTJOIN("", "", TRUE, FILTER(C92:L92, (C98:L98 = ""L"") * (C95:L95 = MIN(FILTER(C95:L95, C98:L98 = ""L""))))), """"))"),"")</f>
        <v/>
      </c>
      <c r="P99" s="12" t="str">
        <f>IFERROR(__xludf.DUMMYFUNCTION("IF(COUNTA(C103:L103) = 0, """", IFERROR(TEXTJOIN("", "", TRUE, FILTER(C92:L92, C103:L103 = MIN(C103:L103))), """"))"),"")</f>
        <v/>
      </c>
      <c r="Q99" s="4"/>
    </row>
    <row r="100">
      <c r="A100" s="1" t="s">
        <v>83</v>
      </c>
      <c r="B100" s="2"/>
      <c r="C100" s="27" t="str">
        <f t="shared" ref="C100:L100" si="30">IF(OR(C95="",C98=""),"",C87+COUNTIF(C98,"L"))</f>
        <v/>
      </c>
      <c r="D100" s="27" t="str">
        <f t="shared" si="30"/>
        <v/>
      </c>
      <c r="E100" s="27" t="str">
        <f t="shared" si="30"/>
        <v/>
      </c>
      <c r="F100" s="27" t="str">
        <f t="shared" si="30"/>
        <v/>
      </c>
      <c r="G100" s="27" t="str">
        <f t="shared" si="30"/>
        <v/>
      </c>
      <c r="H100" s="27" t="str">
        <f t="shared" si="30"/>
        <v/>
      </c>
      <c r="I100" s="27" t="str">
        <f t="shared" si="30"/>
        <v/>
      </c>
      <c r="J100" s="27" t="str">
        <f t="shared" si="30"/>
        <v/>
      </c>
      <c r="K100" s="27" t="str">
        <f t="shared" si="30"/>
        <v/>
      </c>
      <c r="L100" s="27" t="str">
        <f t="shared" si="30"/>
        <v/>
      </c>
      <c r="M100" s="2"/>
      <c r="N100" s="3" t="s">
        <v>84</v>
      </c>
      <c r="O100" s="12" t="str">
        <f>IFERROR(__xludf.DUMMYFUNCTION("IF(COUNTA(C95:L95) = 0, """", IFERROR(TEXTJOIN("", "", TRUE, FILTER(C92:L92, C95:L95 = MAX(C95:L95))), """"))"),"")</f>
        <v/>
      </c>
      <c r="P100" s="4" t="str">
        <f>IFERROR(__xludf.DUMMYFUNCTION("IF(COUNTA(C95:L95) = 0, """", IFERROR(TEXTJOIN("", "", TRUE, FILTER(C92:L92, C102:L102 = MAX(C102:L102))), """"))"),"")</f>
        <v/>
      </c>
      <c r="Q100" s="4"/>
    </row>
    <row r="101">
      <c r="A101" s="3" t="s">
        <v>85</v>
      </c>
      <c r="B101" s="2"/>
      <c r="C101" s="24" t="str">
        <f t="shared" ref="C101:L101" si="31">IF(OR(C95="",C98=""),"",(C99/(C99+C100)))</f>
        <v/>
      </c>
      <c r="D101" s="24" t="str">
        <f t="shared" si="31"/>
        <v/>
      </c>
      <c r="E101" s="24" t="str">
        <f t="shared" si="31"/>
        <v/>
      </c>
      <c r="F101" s="24" t="str">
        <f t="shared" si="31"/>
        <v/>
      </c>
      <c r="G101" s="24" t="str">
        <f t="shared" si="31"/>
        <v/>
      </c>
      <c r="H101" s="24" t="str">
        <f t="shared" si="31"/>
        <v/>
      </c>
      <c r="I101" s="24" t="str">
        <f t="shared" si="31"/>
        <v/>
      </c>
      <c r="J101" s="24" t="str">
        <f t="shared" si="31"/>
        <v/>
      </c>
      <c r="K101" s="24" t="str">
        <f t="shared" si="31"/>
        <v/>
      </c>
      <c r="L101" s="24" t="str">
        <f t="shared" si="31"/>
        <v/>
      </c>
      <c r="M101" s="14"/>
      <c r="N101" s="3" t="s">
        <v>86</v>
      </c>
      <c r="O101" s="4" t="str">
        <f>IFERROR(__xludf.DUMMYFUNCTION("IF(COUNTA(C95:L95) = 0, """", IFERROR(TEXTJOIN("", "", TRUE, FILTER(C92:L92, C95:L95 = MIN(C95:L95))), """"))"),"")</f>
        <v/>
      </c>
      <c r="P101" s="4" t="str">
        <f>IFERROR(__xludf.DUMMYFUNCTION("IF(COUNTA(C95:L95) = 0, """", IFERROR(TEXTJOIN("", "", TRUE, FILTER(C92:L92, C102:L102 = MIN(C102:L102))), """"))"),"")</f>
        <v/>
      </c>
      <c r="Q101" s="4"/>
    </row>
    <row r="102">
      <c r="A102" s="3" t="s">
        <v>87</v>
      </c>
      <c r="B102" s="2"/>
      <c r="C102" s="25" t="str">
        <f t="shared" ref="C102:L102" si="32">IF(C95="","",IF(((IF(C95 &lt;0,((-100/C95)+1),((C95/100)+1))+(IF(C89&lt;0,((-100/C89)+1),((C89/100)+1)))*(C86+C87))/(C86+C87+1))&lt;2,(-100/(((IF(C95 &lt;0,((-100/C95)+1),((C95/100)+1))+(IF(C89&lt;0,((-100/C89)+1),((C89/100)+1)))*(C86+C87))/(C86+C87+1))-1)),(((IF(C95 &lt;0,((-100/C95)+1),((C95/100)+1))+(IF(C89&lt;0,((-100/C89)+1),((C89/100)+1)))*(C86+C87))/(C86+C87+1))-1)*100))</f>
        <v/>
      </c>
      <c r="D102" s="25" t="str">
        <f t="shared" si="32"/>
        <v/>
      </c>
      <c r="E102" s="25" t="str">
        <f t="shared" si="32"/>
        <v/>
      </c>
      <c r="F102" s="25" t="str">
        <f t="shared" si="32"/>
        <v/>
      </c>
      <c r="G102" s="25" t="str">
        <f t="shared" si="32"/>
        <v/>
      </c>
      <c r="H102" s="25" t="str">
        <f t="shared" si="32"/>
        <v/>
      </c>
      <c r="I102" s="25" t="str">
        <f t="shared" si="32"/>
        <v/>
      </c>
      <c r="J102" s="25" t="str">
        <f t="shared" si="32"/>
        <v/>
      </c>
      <c r="K102" s="25" t="str">
        <f t="shared" si="32"/>
        <v/>
      </c>
      <c r="L102" s="25" t="str">
        <f t="shared" si="32"/>
        <v/>
      </c>
      <c r="M102" s="14"/>
      <c r="N102" s="4"/>
      <c r="O102" s="12"/>
      <c r="P102" s="12"/>
      <c r="Q102" s="4"/>
    </row>
    <row r="103">
      <c r="A103" s="16" t="s">
        <v>88</v>
      </c>
      <c r="B103" s="2"/>
      <c r="C103" s="26" t="str">
        <f>IFERROR(__xludf.DUMMYFUNCTION("IF(OR(C95="""",C98=""""),"""",IF(REGEXMATCH(C98,""W""),IF(C95&lt;0,((-100/C95))*10+C90,((C95/100)*10+C90)),-10+C90))"),"")</f>
        <v/>
      </c>
      <c r="D103" s="26" t="str">
        <f>IFERROR(__xludf.DUMMYFUNCTION("IF(OR(D95="""",D98=""""),"""",IF(REGEXMATCH(D98,""W""),IF(D95&lt;0,((-100/D95))*10+D90,((D95/100)*10+D90)),-10+D90))"),"")</f>
        <v/>
      </c>
      <c r="E103" s="26" t="str">
        <f>IFERROR(__xludf.DUMMYFUNCTION("IF(OR(E95="""",E98=""""),"""",IF(REGEXMATCH(E98,""W""),IF(E95&lt;0,((-100/E95))*10+E90,((E95/100)*10+E90)),-10+E90))"),"")</f>
        <v/>
      </c>
      <c r="F103" s="26" t="str">
        <f>IFERROR(__xludf.DUMMYFUNCTION("IF(OR(F95="""",F98=""""),"""",IF(REGEXMATCH(F98,""W""),IF(F95&lt;0,((-100/F95))*10+F90,((F95/100)*10+F90)),-10+F90))"),"")</f>
        <v/>
      </c>
      <c r="G103" s="26" t="str">
        <f>IFERROR(__xludf.DUMMYFUNCTION("IF(OR(G95="""",G98=""""),"""",IF(REGEXMATCH(G98,""W""),IF(G95&lt;0,((-100/G95))*10+G90,((G95/100)*10+G90)),-10+G90))"),"")</f>
        <v/>
      </c>
      <c r="H103" s="26" t="str">
        <f>IFERROR(__xludf.DUMMYFUNCTION("IF(OR(H95="""",H98=""""),"""",IF(REGEXMATCH(H98,""W""),IF(H95&lt;0,((-100/H95))*10+H90,((H95/100)*10+H90)),-10+H90))"),"")</f>
        <v/>
      </c>
      <c r="I103" s="26" t="str">
        <f>IFERROR(__xludf.DUMMYFUNCTION("IF(OR(I95="""",I98=""""),"""",IF(REGEXMATCH(I98,""W""),IF(I95&lt;0,((-100/I95))*10+I90,((I95/100)*10+I90)),-10+I90))"),"")</f>
        <v/>
      </c>
      <c r="J103" s="26" t="str">
        <f>IFERROR(__xludf.DUMMYFUNCTION("IF(OR(J95="""",J98=""""),"""",IF(REGEXMATCH(J98,""W""),IF(J95&lt;0,((-100/J95))*10+J90,((J95/100)*10+J90)),-10+J90))"),"")</f>
        <v/>
      </c>
      <c r="K103" s="26" t="str">
        <f>IFERROR(__xludf.DUMMYFUNCTION("IF(OR(K95="""",K98=""""),"""",IF(REGEXMATCH(K98,""W""),IF(K95&lt;0,((-100/K95))*10+K90,((K95/100)*10+K90)),-10+K90))"),"")</f>
        <v/>
      </c>
      <c r="L103" s="26" t="str">
        <f>IFERROR(__xludf.DUMMYFUNCTION("IF(OR(L95="""",L98=""""),"""",IF(REGEXMATCH(L98,""W""),IF(L95&lt;0,((-100/L95))*10+L90,((L95/100)*10+L90)),-10+L90))"),"")</f>
        <v/>
      </c>
      <c r="M103" s="14"/>
      <c r="N103" s="16" t="s">
        <v>89</v>
      </c>
      <c r="O103" s="10" t="str">
        <f>IFERROR(__xludf.DUMMYFUNCTION("IF(AND(C103="""",AND(D103="""",AND(E103="""",AND(F103="""",AND(G103="""",AND(H103="""",AND(I103="""",AND(J103="""",AND(K103="""",L103=""""))))))))),"""",(IF(C98="""",0,IF(REGEXMATCH(C98,""W""),IF(C95&lt;0,((-100/C95))*10,((C95/100)*10)),-10))+IF(D98="""",0,I"&amp;"F(REGEXMATCH(D98,""W""),IF(D95&lt;0,((-100/D95))*10,((D95/100)*10)),-10))+IF(E98="""",0,IF(REGEXMATCH(E98,""W""),IF(E95&lt;0,((-100/E95))*10,((E95/100)*10)),-10))+IF(F98="""",0,IF(REGEXMATCH(F98,""W""),IF(F95&lt;0,((-100/F95))*10,((F95/100)*10)),-10))+IF(G98="""","&amp;"0,IF(REGEXMATCH(G98,""W""),IF(G95&lt;0,((-100/G95))*10,((G95/100)*10)),-10))+IF(H98="""",0,IF(REGEXMATCH(H98,""W""),IF(H95&lt;0,((-100/H95))*10,((H95/100)*10)),-10))+IF(I98="""",0,IF(REGEXMATCH(I98,""W""),IF(I95&lt;0,((-100/I95))*10,((I95/100)*10)),-10))+IF(J98="""&amp;""",0,IF(REGEXMATCH(J98,""W""),IF(J95&lt;0,((-100/J95))*10,((J95/100)*10)),-10))+IF(K98="""",0,IF(REGEXMATCH(K98,""W""),IF(K95&lt;0,((-100/K95))*10,((K95/100)*10)),-10))+IF(L98="""",0,IF(REGEXMATCH(L98,""W""),IF(L95&lt;0,((-100/L95))*10,((L95/100)*10)),-10))))"),"")</f>
        <v/>
      </c>
      <c r="P103" s="10" t="str">
        <f>IFERROR(__xludf.DUMMYFUNCTION("IF(AND(C103="""",AND(D103="""",AND(E103="""",AND(F103="""",AND(G103="""",AND(H103="""",AND(I103="""",AND(J103="""",AND(K103="""",L103=""""))))))))),"""",(P90+IF(C98="""",0,IF(REGEXMATCH(C98,""W""),IF(C95&lt;0,((-100/C95))*10,((C95/100)*10)),-10))+IF(D98="""""&amp;",0,IF(REGEXMATCH(D98,""W""),IF(D95&lt;0,((-100/D95))*10,((D95/100)*10)),-10))+IF(E98="""",0,IF(REGEXMATCH(E98,""W""),IF(E95&lt;0,((-100/E95))*10,((E95/100)*10)),-10))+IF(F98="""",0,IF(REGEXMATCH(F98,""W""),IF(F95&lt;0,((-100/F95))*10,((F95/100)*10)),-10))+IF(G98="&amp;""""",0,IF(REGEXMATCH(G98,""W""),IF(G95&lt;0,((-100/G95))*10,((G95/100)*10)),-10))+IF(H98="""",0,IF(REGEXMATCH(H98,""W""),IF(H95&lt;0,((-100/H95))*10,((H95/100)*10)),-10))+IF(I98="""",0,IF(REGEXMATCH(I98,""W""),IF(I95&lt;0,((-100/I95))*10,((I95/100)*10)),-10))+IF(J"&amp;"98="""",0,IF(REGEXMATCH(J98,""W""),IF(J95&lt;0,((-100/J95))*10,((J95/100)*10)),-10))+IF(K98="""",0,IF(REGEXMATCH(K98,""W""),IF(K95&lt;0,((-100/K95))*10,((K95/100)*10)),-10))+IF(L98="""",0,IF(REGEXMATCH(L98,""W""),IF(L95&lt;0,((-100/L95))*10,((L95/100)*10)),-10))))"),"")</f>
        <v/>
      </c>
      <c r="Q103" s="4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</row>
    <row r="105">
      <c r="A105" s="1" t="s">
        <v>216</v>
      </c>
      <c r="B105" s="2"/>
      <c r="C105" s="3" t="s">
        <v>1</v>
      </c>
      <c r="D105" s="3" t="s">
        <v>2</v>
      </c>
      <c r="E105" s="3" t="s">
        <v>3</v>
      </c>
      <c r="F105" s="3" t="s">
        <v>4</v>
      </c>
      <c r="G105" s="3" t="s">
        <v>5</v>
      </c>
      <c r="H105" s="3" t="s">
        <v>6</v>
      </c>
      <c r="I105" s="3" t="s">
        <v>7</v>
      </c>
      <c r="J105" s="3" t="s">
        <v>8</v>
      </c>
      <c r="K105" s="3" t="s">
        <v>9</v>
      </c>
      <c r="L105" s="3" t="s">
        <v>10</v>
      </c>
      <c r="M105" s="2"/>
      <c r="N105" s="4"/>
      <c r="O105" s="3" t="s">
        <v>11</v>
      </c>
      <c r="P105" s="4"/>
      <c r="Q105" s="4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</row>
    <row r="107">
      <c r="A107" s="3" t="s">
        <v>12</v>
      </c>
      <c r="B107" s="2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2"/>
      <c r="N107" s="3" t="s">
        <v>13</v>
      </c>
      <c r="O107" s="7" t="str">
        <f>IF(AND(C108="",AND(D108="",AND(E108="",AND(F108="",AND(G108="",AND(H108="",AND(I108="",AND(J108="",AND(K108="",L108=""))))))))),"",IF(((IF(C108="",1,IF(C108&gt;0,(C108/100)+1,(100/((-1)*C108))+1)))*(IF(D108="",1,IF(D108&gt;0,(D108/100)+1,(100/((-1)*D108))+1)))*(IF(E108="",1,IF(E108&gt;0,(E108/100)+1,(100/((-1)*E108))+1)))*(IF(F108="",1,IF(F108&gt;0,(F108/100)+1,(100/((-1)*F108))+1)))*(IF(G108="",1,IF(G108&gt;0,(G108/100)+1,(100/((-1)*G108))+1)))*(IF(H108="",1,IF(H108&gt;0,(H108/100)+1,(100/((-1)*H108))+1)))*(IF(I108="",1,IF(I108&gt;0,(I108/100)+1,(100/((-1)*I108))+1)))*(IF(J108="",1,IF(J108&gt;0,(J108/100)+1,(100/((-1)*J108))+1)))*(IF(K108="",1,IF(K108&gt;0,(K108/100)+1,(100/((-1)*K108))+1)))*(IF(L108="",1,IF(L108&gt;0,(L108/100)+1,(100/((-1)*L108))+1))))&lt;2,((-100)/(((IF(C108="",1,IF(C108&gt;0,(C108/100)+1,(100/((-1)*C108))+1)))*(IF(D108="",1,IF(D108&gt;0,(D108/100)+1,(100/((-1)*D108))+1)))*(IF(E108="",1,IF(E108&gt;0,(E108/100)+1,(100/((-1)*E108))+1)))*(IF(F108="",1,IF(F108&gt;0,(F108/100)+1,(100/((-1)*F108))+1)))*(IF(G108="",1,IF(G108&gt;0,(G108/100)+1,(100/((-1)*G108))+1)))*(IF(H108="",1,IF(H108&gt;0,(H108/100)+1,(100/((-1)*H108))+1)))*(IF(I108="",1,IF(I108&gt;0,(I108/100)+1,(100/((-1)*I108))+1)))*(IF(J108="",1,IF(J108&gt;0,(J108/100)+1,(100/((-1)*J108))+1)))*(IF(K108="",1,IF(K108&gt;0,(K108/100)+1,(100/((-1)*K108))+1)))*(IF(L108="",1,IF(L108&gt;0,(L108/100)+1,(100/((-1)*L108))+1))))-1)),((((IF(C108="",1,IF(C108&gt;0,(C108/100)+1,(100/((-1)*C108))+1)))*(IF(D108="",1,IF(D108&gt;0,(D108/100)+1,(100/((-1)*D108))+1)))*(IF(E108="",1,IF(E108&gt;0,(E108/100)+1,(100/((-1)*E108))+1)))*(IF(F108="",1,IF(F108&gt;0,(F108/100)+1,(100/((-1)*F108))+1)))*(IF(G108="",1,IF(G108&gt;0,(G108/100)+1,(100/((-1)*G108))+1)))*(IF(H108="",1,IF(H108&gt;0,(H108/100)+1,(100/((-1)*H108))+1)))*(IF(I108="",1,IF(I108&gt;0,(I108/100)+1,(100/((-1)*I108))+1)))*(IF(J108="",1,IF(J108&gt;0,(J108/100)+1,(100/((-1)*J108))+1)))*(IF(K108="",1,IF(K108&gt;0,(K108/100)+1,(100/((-1)*K108))+1)))*(IF(L108="",1,IF(L108&gt;0,(L108/100)+1,(100/((-1)*L108))+1))))-1)*(100))))</f>
        <v/>
      </c>
      <c r="P107" s="4"/>
      <c r="Q107" s="8" t="s">
        <v>35</v>
      </c>
    </row>
    <row r="108">
      <c r="A108" s="3" t="s">
        <v>13</v>
      </c>
      <c r="B108" s="2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2">
        <v>8.0</v>
      </c>
      <c r="N108" s="3" t="s">
        <v>36</v>
      </c>
      <c r="O108" s="10" t="str">
        <f>IF(AND(C108="",AND(D108="",AND(E108="",AND(F108="",AND(G108="",AND(H108="",AND(I108="",AND(J108="",AND(K108="",L108=""))))))))),"",10+IF((IF(((IF(C108="",1,IF(C108&gt;0,(C108/100)+1,(100/((-1)*C108))+1)))*(IF(D108="",1,IF(D108&gt;0,(D108/100)+1,(100/((-1)*D108))+1)))*(IF(E108="",1,IF(E108&gt;0,(E108/100)+1,(100/((-1)*E108))+1)))*(IF(F108="",1,IF(F108&gt;0,(F108/100)+1,(100/((-1)*F108))+1)))*(IF(G108="",1,IF(G108&gt;0,(G108/100)+1,(100/((-1)*G108))+1)))*(IF(H108="",1,IF(H108&gt;0,(H108/100)+1,(100/((-1)*H108))+1)))*(IF(I108="",1,IF(I108&gt;0,(I108/100)+1,(100/((-1)*I108))+1)))*(IF(J108="",1,IF(J108&gt;0,(J108/100)+1,(100/((-1)*J108))+1)))*(IF(K108="",1,IF(K108&gt;0,(K108/100)+1,(100/((-1)*K108))+1)))*(IF(L108="",1,IF(L108&gt;0,(L108/100)+1,(100/((-1)*L108))+1))))&lt;2,((-100)/(((IF(C108="",1,IF(C108&gt;0,(C108/100)+1,(100/((-1)*C108))+1)))*(IF(D108="",1,IF(D108&gt;0,(D108/100)+1,(100/((-1)*D108))+1)))*(IF(E108="",1,IF(E108&gt;0,(E108/100)+1,(100/((-1)*E108))+1)))*(IF(F108="",1,IF(F108&gt;0,(F108/100)+1,(100/((-1)*F108))+1)))*(IF(G108="",1,IF(G108&gt;0,(G108/100)+1,(100/((-1)*G108))+1)))*(IF(H108="",1,IF(H108&gt;0,(H108/100)+1,(100/((-1)*H108))+1)))*(IF(I108="",1,IF(I108&gt;0,(I108/100)+1,(100/((-1)*I108))+1)))*(IF(J108="",1,IF(J108&gt;0,(J108/100)+1,(100/((-1)*J108))+1)))*(IF(K108="",1,IF(K108&gt;0,(K108/100)+1,(100/((-1)*K108))+1)))*(IF(L108="",1,IF(L108&gt;0,(L108/100)+1,(100/((-1)*L108))+1))))-1)),((((IF(C108="",1,IF(C108&gt;0,(C108/100)+1,(100/((-1)*C108))+1)))*(IF(D108="",1,IF(D108&gt;0,(D108/100)+1,(100/((-1)*D108))+1)))*(IF(E108="",1,IF(E108&gt;0,(E108/100)+1,(100/((-1)*E108))+1)))*(IF(F108="",1,IF(F108&gt;0,(F108/100)+1,(100/((-1)*F108))+1)))*(IF(G108="",1,IF(G108&gt;0,(G108/100)+1,(100/((-1)*G108))+1)))*(IF(H108="",1,IF(H108&gt;0,(H108/100)+1,(100/((-1)*H108))+1)))*(IF(I108="",1,IF(I108&gt;0,(I108/100)+1,(100/((-1)*I108))+1)))*(IF(J108="",1,IF(J108&gt;0,(J108/100)+1,(100/((-1)*J108))+1)))*(IF(K108="",1,IF(K108&gt;0,(K108/100)+1,(100/((-1)*K108))+1)))*(IF(L108="",1,IF(L108&gt;0,(L108/100)+1,(100/((-1)*L108))+1))))-1)*(100))))&lt;0,(((-100)/((IF(((IF(C108="",1,IF(C108&gt;0,(C108/100)+1,(100/((-1)*C108))+1)))*(IF(D108="",1,IF(D108&gt;0,(D108/100)+1,(100/((-1)*D108))+1)))*(IF(E108="",1,IF(E108&gt;0,(E108/100)+1,(100/((-1)*E108))+1)))*(IF(F108="",1,IF(F108&gt;0,(F108/100)+1,(100/((-1)*F108))+1)))*(IF(G108="",1,IF(G108&gt;0,(G108/100)+1,(100/((-1)*G108))+1)))*(IF(H108="",1,IF(H108&gt;0,(H108/100)+1,(100/((-1)*H108))+1)))*(IF(I108="",1,IF(I108&gt;0,(I108/100)+1,(100/((-1)*I108))+1)))*(IF(J108="",1,IF(J108&gt;0,(J108/100)+1,(100/((-1)*J108))+1)))*(IF(K108="",1,IF(K108&gt;0,(K108/100)+1,(100/((-1)*K108))+1)))*(IF(L108="",1,IF(L108&gt;0,(L108/100)+1,(100/((-1)*L108))+1))))&lt;2,((-100)/(((IF(C108="",1,IF(C108&gt;0,(C108/100)+1,(100/((-1)*C108))+1)))*(IF(D108="",1,IF(D108&gt;0,(D108/100)+1,(100/((-1)*D108))+1)))*(IF(E108="",1,IF(E108&gt;0,(E108/100)+1,(100/((-1)*E108))+1)))*(IF(F108="",1,IF(F108&gt;0,(F108/100)+1,(100/((-1)*F108))+1)))*(IF(G108="",1,IF(G108&gt;0,(G108/100)+1,(100/((-1)*G108))+1)))*(IF(H108="",1,IF(H108&gt;0,(H108/100)+1,(100/((-1)*H108))+1)))*(IF(I108="",1,IF(I108&gt;0,(I108/100)+1,(100/((-1)*I108))+1)))*(IF(J108="",1,IF(J108&gt;0,(J108/100)+1,(100/((-1)*J108))+1)))*(IF(K108="",1,IF(K108&gt;0,(K108/100)+1,(100/((-1)*K108))+1)))*(IF(L108="",1,IF(L108&gt;0,(L108/100)+1,(100/((-1)*L108))+1))))-1)),((((IF(C108="",1,IF(C108&gt;0,(C108/100)+1,(100/((-1)*C108))+1)))*(IF(D108="",1,IF(D108&gt;0,(D108/100)+1,(100/((-1)*D108))+1)))*(IF(E108="",1,IF(E108&gt;0,(E108/100)+1,(100/((-1)*E108))+1)))*(IF(F108="",1,IF(F108&gt;0,(F108/100)+1,(100/((-1)*F108))+1)))*(IF(G108="",1,IF(G108&gt;0,(G108/100)+1,(100/((-1)*G108))+1)))*(IF(H108="",1,IF(H108&gt;0,(H108/100)+1,(100/((-1)*H108))+1)))*(IF(I108="",1,IF(I108&gt;0,(I108/100)+1,(100/((-1)*I108))+1)))*(IF(J108="",1,IF(J108&gt;0,(J108/100)+1,(100/((-1)*J108))+1)))*(IF(K108="",1,IF(K108&gt;0,(K108/100)+1,(100/((-1)*K108))+1)))*(IF(L108="",1,IF(L108&gt;0,(L108/100)+1,(100/((-1)*L108))+1))))-1)*(100))))))*10),(((IF(((IF(C108="",1,IF(C108&gt;0,(C108/100)+1,(100/((-1)*C108))+1)))*(IF(D108="",1,IF(D108&gt;0,(D108/100)+1,(100/((-1)*D108))+1)))*(IF(E108="",1,IF(E108&gt;0,(E108/100)+1,(100/((-1)*E108))+1)))*(IF(F108="",1,IF(F108&gt;0,(F108/100)+1,(100/((-1)*F108))+1)))*(IF(G108="",1,IF(G108&gt;0,(G108/100)+1,(100/((-1)*G108))+1)))*(IF(H108="",1,IF(H108&gt;0,(H108/100)+1,(100/((-1)*H108))+1)))*(IF(I108="",1,IF(I108&gt;0,(I108/100)+1,(100/((-1)*I108))+1)))*(IF(J108="",1,IF(J108&gt;0,(J108/100)+1,(100/((-1)*J108))+1)))*(IF(K108="",1,IF(K108&gt;0,(K108/100)+1,(100/((-1)*K108))+1)))*(IF(L108="",1,IF(L108&gt;0,(L108/100)+1,(100/((-1)*L108))+1))))&lt;2,((-100)/(((IF(C108="",1,IF(C108&gt;0,(C108/100)+1,(100/((-1)*C108))+1)))*(IF(D108="",1,IF(D108&gt;0,(D108/100)+1,(100/((-1)*D108))+1)))*(IF(E108="",1,IF(E108&gt;0,(E108/100)+1,(100/((-1)*E108))+1)))*(IF(F108="",1,IF(F108&gt;0,(F108/100)+1,(100/((-1)*F108))+1)))*(IF(G108="",1,IF(G108&gt;0,(G108/100)+1,(100/((-1)*G108))+1)))*(IF(H108="",1,IF(H108&gt;0,(H108/100)+1,(100/((-1)*H108))+1)))*(IF(I108="",1,IF(I108&gt;0,(I108/100)+1,(100/((-1)*I108))+1)))*(IF(J108="",1,IF(J108&gt;0,(J108/100)+1,(100/((-1)*J108))+1)))*(IF(K108="",1,IF(K108&gt;0,(K108/100)+1,(100/((-1)*K108))+1)))*(IF(L108="",1,IF(L108&gt;0,(L108/100)+1,(100/((-1)*L108))+1))))-1)),((((IF(C108="",1,IF(C108&gt;0,(C108/100)+1,(100/((-1)*C108))+1)))*(IF(D108="",1,IF(D108&gt;0,(D108/100)+1,(100/((-1)*D108))+1)))*(IF(E108="",1,IF(E108&gt;0,(E108/100)+1,(100/((-1)*E108))+1)))*(IF(F108="",1,IF(F108&gt;0,(F108/100)+1,(100/((-1)*F108))+1)))*(IF(G108="",1,IF(G108&gt;0,(G108/100)+1,(100/((-1)*G108))+1)))*(IF(H108="",1,IF(H108&gt;0,(H108/100)+1,(100/((-1)*H108))+1)))*(IF(I108="",1,IF(I108&gt;0,(I108/100)+1,(100/((-1)*I108))+1)))*(IF(J108="",1,IF(J108&gt;0,(J108/100)+1,(100/((-1)*J108))+1)))*(IF(K108="",1,IF(K108&gt;0,(K108/100)+1,(100/((-1)*K108))+1)))*(IF(L108="",1,IF(L108&gt;0,(L108/100)+1,(100/((-1)*L108))+1))))-1)*(100))))/100)*10)))</f>
        <v/>
      </c>
      <c r="P108" s="4"/>
      <c r="Q108" s="4"/>
    </row>
    <row r="109">
      <c r="A109" s="3" t="s">
        <v>37</v>
      </c>
      <c r="B109" s="2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2"/>
      <c r="N109" s="4"/>
      <c r="O109" s="4"/>
      <c r="P109" s="4"/>
      <c r="Q109" s="4"/>
    </row>
    <row r="110">
      <c r="A110" s="3" t="s">
        <v>48</v>
      </c>
      <c r="B110" s="2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2"/>
      <c r="N110" s="4"/>
      <c r="O110" s="3" t="s">
        <v>56</v>
      </c>
      <c r="P110" s="3" t="s">
        <v>57</v>
      </c>
      <c r="Q110" s="4"/>
    </row>
    <row r="111">
      <c r="A111" s="3" t="s">
        <v>59</v>
      </c>
      <c r="B111" s="2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2"/>
      <c r="N111" s="3" t="s">
        <v>65</v>
      </c>
      <c r="O111" s="12" t="str">
        <f>IFERROR(__xludf.DUMMYFUNCTION("IF(OR(COUNTA(C108:L108) = 0, COUNTA(C111:L111) = 0), """", IFERROR(TEXTJOIN("", "", TRUE, FILTER(C105:L105, (C111:L111 = ""W"") * (C108:L108 = MAX(FILTER(C108:L108, C111:L111 = ""W""))))), """"))"),"")</f>
        <v/>
      </c>
      <c r="P111" s="12" t="str">
        <f>IFERROR(__xludf.DUMMYFUNCTION("IF(COUNTA(C116:L116) = 0, """", IFERROR(TEXTJOIN("", "", TRUE, FILTER(C105:L105, C116:L116 = MAX(C116:L116))), """"))"),"")</f>
        <v/>
      </c>
      <c r="Q111" s="4"/>
    </row>
    <row r="112">
      <c r="A112" s="1" t="s">
        <v>81</v>
      </c>
      <c r="B112" s="2"/>
      <c r="C112" s="4" t="str">
        <f t="shared" ref="C112:L112" si="33">IF(OR(C108="",C111=""),"",C99+COUNTIF(C111,"W"))</f>
        <v/>
      </c>
      <c r="D112" s="4" t="str">
        <f t="shared" si="33"/>
        <v/>
      </c>
      <c r="E112" s="4" t="str">
        <f t="shared" si="33"/>
        <v/>
      </c>
      <c r="F112" s="4" t="str">
        <f t="shared" si="33"/>
        <v/>
      </c>
      <c r="G112" s="4" t="str">
        <f t="shared" si="33"/>
        <v/>
      </c>
      <c r="H112" s="4" t="str">
        <f t="shared" si="33"/>
        <v/>
      </c>
      <c r="I112" s="4" t="str">
        <f t="shared" si="33"/>
        <v/>
      </c>
      <c r="J112" s="4" t="str">
        <f t="shared" si="33"/>
        <v/>
      </c>
      <c r="K112" s="4" t="str">
        <f t="shared" si="33"/>
        <v/>
      </c>
      <c r="L112" s="4" t="str">
        <f t="shared" si="33"/>
        <v/>
      </c>
      <c r="M112" s="2"/>
      <c r="N112" s="3" t="s">
        <v>82</v>
      </c>
      <c r="O112" s="4" t="str">
        <f>IFERROR(__xludf.DUMMYFUNCTION("IF(OR(COUNTA(C108:L108) = 0, COUNTA(C111:L111) = 0), """", IFERROR(TEXTJOIN("", "", TRUE, FILTER(C105:L105, (C111:L111 = ""L"") * (C108:L108 = MIN(FILTER(C108:L108, C111:L111 = ""L""))))), """"))"),"")</f>
        <v/>
      </c>
      <c r="P112" s="12" t="str">
        <f>IFERROR(__xludf.DUMMYFUNCTION("IF(COUNTA(C116:L116) = 0, """", IFERROR(TEXTJOIN("", "", TRUE, FILTER(C105:L105, C116:L116 = MIN(C116:L116))), """"))"),"")</f>
        <v/>
      </c>
      <c r="Q112" s="4"/>
    </row>
    <row r="113">
      <c r="A113" s="1" t="s">
        <v>83</v>
      </c>
      <c r="B113" s="2"/>
      <c r="C113" s="27" t="str">
        <f t="shared" ref="C113:L113" si="34">IF(OR(C108="",C111=""),"",C100+COUNTIF(C111,"L"))</f>
        <v/>
      </c>
      <c r="D113" s="27" t="str">
        <f t="shared" si="34"/>
        <v/>
      </c>
      <c r="E113" s="27" t="str">
        <f t="shared" si="34"/>
        <v/>
      </c>
      <c r="F113" s="27" t="str">
        <f t="shared" si="34"/>
        <v/>
      </c>
      <c r="G113" s="27" t="str">
        <f t="shared" si="34"/>
        <v/>
      </c>
      <c r="H113" s="27" t="str">
        <f t="shared" si="34"/>
        <v/>
      </c>
      <c r="I113" s="27" t="str">
        <f t="shared" si="34"/>
        <v/>
      </c>
      <c r="J113" s="27" t="str">
        <f t="shared" si="34"/>
        <v/>
      </c>
      <c r="K113" s="27" t="str">
        <f t="shared" si="34"/>
        <v/>
      </c>
      <c r="L113" s="27" t="str">
        <f t="shared" si="34"/>
        <v/>
      </c>
      <c r="M113" s="2"/>
      <c r="N113" s="3" t="s">
        <v>84</v>
      </c>
      <c r="O113" s="12" t="str">
        <f>IFERROR(__xludf.DUMMYFUNCTION("IF(COUNTA(C108:L108) = 0, """", IFERROR(TEXTJOIN("", "", TRUE, FILTER(C105:L105, C108:L108 = MAX(C108:L108))), """"))"),"")</f>
        <v/>
      </c>
      <c r="P113" s="4" t="str">
        <f>IFERROR(__xludf.DUMMYFUNCTION("IF(COUNTA(C108:L108) = 0, """", IFERROR(TEXTJOIN("", "", TRUE, FILTER(C105:L105, C115:L115 = MAX(C115:L115))), """"))"),"")</f>
        <v/>
      </c>
      <c r="Q113" s="4"/>
    </row>
    <row r="114">
      <c r="A114" s="3" t="s">
        <v>85</v>
      </c>
      <c r="B114" s="2"/>
      <c r="C114" s="24" t="str">
        <f t="shared" ref="C114:L114" si="35">IF(OR(C108="",C111=""),"",(C112/(C112+C113)))</f>
        <v/>
      </c>
      <c r="D114" s="24" t="str">
        <f t="shared" si="35"/>
        <v/>
      </c>
      <c r="E114" s="24" t="str">
        <f t="shared" si="35"/>
        <v/>
      </c>
      <c r="F114" s="24" t="str">
        <f t="shared" si="35"/>
        <v/>
      </c>
      <c r="G114" s="24" t="str">
        <f t="shared" si="35"/>
        <v/>
      </c>
      <c r="H114" s="24" t="str">
        <f t="shared" si="35"/>
        <v/>
      </c>
      <c r="I114" s="24" t="str">
        <f t="shared" si="35"/>
        <v/>
      </c>
      <c r="J114" s="24" t="str">
        <f t="shared" si="35"/>
        <v/>
      </c>
      <c r="K114" s="24" t="str">
        <f t="shared" si="35"/>
        <v/>
      </c>
      <c r="L114" s="24" t="str">
        <f t="shared" si="35"/>
        <v/>
      </c>
      <c r="M114" s="14"/>
      <c r="N114" s="3" t="s">
        <v>86</v>
      </c>
      <c r="O114" s="4" t="str">
        <f>IFERROR(__xludf.DUMMYFUNCTION("IF(COUNTA(C108:L108) = 0, """", IFERROR(TEXTJOIN("", "", TRUE, FILTER(C105:L105, C108:L108 = MIN(C108:L108))), """"))"),"")</f>
        <v/>
      </c>
      <c r="P114" s="4" t="str">
        <f>IFERROR(__xludf.DUMMYFUNCTION("IF(COUNTA(C108:L108) = 0, """", IFERROR(TEXTJOIN("", "", TRUE, FILTER(C105:L105, C115:L115 = MIN(C115:L115))), """"))"),"")</f>
        <v/>
      </c>
      <c r="Q114" s="4"/>
    </row>
    <row r="115">
      <c r="A115" s="3" t="s">
        <v>87</v>
      </c>
      <c r="B115" s="2"/>
      <c r="C115" s="25" t="str">
        <f t="shared" ref="C115:L115" si="36">IF(C108="","",IF(((IF(C108 &lt;0,((-100/C108)+1),((C108/100)+1))+(IF(C102&lt;0,((-100/C102)+1),((C102/100)+1)))*(C99+C100))/(C99+C100+1))&lt;2,(-100/(((IF(C108 &lt;0,((-100/C108)+1),((C108/100)+1))+(IF(C102&lt;0,((-100/C102)+1),((C102/100)+1)))*(C99+C100))/(C99+C100+1))-1)),(((IF(C108 &lt;0,((-100/C108)+1),((C108/100)+1))+(IF(C102&lt;0,((-100/C102)+1),((C102/100)+1)))*(C99+C100))/(C99+C100+1))-1)*100))</f>
        <v/>
      </c>
      <c r="D115" s="25" t="str">
        <f t="shared" si="36"/>
        <v/>
      </c>
      <c r="E115" s="25" t="str">
        <f t="shared" si="36"/>
        <v/>
      </c>
      <c r="F115" s="25" t="str">
        <f t="shared" si="36"/>
        <v/>
      </c>
      <c r="G115" s="25" t="str">
        <f t="shared" si="36"/>
        <v/>
      </c>
      <c r="H115" s="25" t="str">
        <f t="shared" si="36"/>
        <v/>
      </c>
      <c r="I115" s="25" t="str">
        <f t="shared" si="36"/>
        <v/>
      </c>
      <c r="J115" s="25" t="str">
        <f t="shared" si="36"/>
        <v/>
      </c>
      <c r="K115" s="25" t="str">
        <f t="shared" si="36"/>
        <v/>
      </c>
      <c r="L115" s="25" t="str">
        <f t="shared" si="36"/>
        <v/>
      </c>
      <c r="M115" s="14"/>
      <c r="N115" s="4"/>
      <c r="O115" s="12"/>
      <c r="P115" s="12"/>
      <c r="Q115" s="4"/>
    </row>
    <row r="116">
      <c r="A116" s="16" t="s">
        <v>88</v>
      </c>
      <c r="B116" s="2"/>
      <c r="C116" s="26" t="str">
        <f>IFERROR(__xludf.DUMMYFUNCTION("IF(OR(C108="""",C111=""""),"""",IF(REGEXMATCH(C111,""W""),IF(C108&lt;0,((-100/C108))*10+C103,((C108/100)*10+C103)),-10+C103))"),"")</f>
        <v/>
      </c>
      <c r="D116" s="26" t="str">
        <f>IFERROR(__xludf.DUMMYFUNCTION("IF(OR(D108="""",D111=""""),"""",IF(REGEXMATCH(D111,""W""),IF(D108&lt;0,((-100/D108))*10+D103,((D108/100)*10+D103)),-10+D103))"),"")</f>
        <v/>
      </c>
      <c r="E116" s="26" t="str">
        <f>IFERROR(__xludf.DUMMYFUNCTION("IF(OR(E108="""",E111=""""),"""",IF(REGEXMATCH(E111,""W""),IF(E108&lt;0,((-100/E108))*10+E103,((E108/100)*10+E103)),-10+E103))"),"")</f>
        <v/>
      </c>
      <c r="F116" s="26" t="str">
        <f>IFERROR(__xludf.DUMMYFUNCTION("IF(OR(F108="""",F111=""""),"""",IF(REGEXMATCH(F111,""W""),IF(F108&lt;0,((-100/F108))*10+F103,((F108/100)*10+F103)),-10+F103))"),"")</f>
        <v/>
      </c>
      <c r="G116" s="26" t="str">
        <f>IFERROR(__xludf.DUMMYFUNCTION("IF(OR(G108="""",G111=""""),"""",IF(REGEXMATCH(G111,""W""),IF(G108&lt;0,((-100/G108))*10+G103,((G108/100)*10+G103)),-10+G103))"),"")</f>
        <v/>
      </c>
      <c r="H116" s="26" t="str">
        <f>IFERROR(__xludf.DUMMYFUNCTION("IF(OR(H108="""",H111=""""),"""",IF(REGEXMATCH(H111,""W""),IF(H108&lt;0,((-100/H108))*10+H103,((H108/100)*10+H103)),-10+H103))"),"")</f>
        <v/>
      </c>
      <c r="I116" s="26" t="str">
        <f>IFERROR(__xludf.DUMMYFUNCTION("IF(OR(I108="""",I111=""""),"""",IF(REGEXMATCH(I111,""W""),IF(I108&lt;0,((-100/I108))*10+I103,((I108/100)*10+I103)),-10+I103))"),"")</f>
        <v/>
      </c>
      <c r="J116" s="26" t="str">
        <f>IFERROR(__xludf.DUMMYFUNCTION("IF(OR(J108="""",J111=""""),"""",IF(REGEXMATCH(J111,""W""),IF(J108&lt;0,((-100/J108))*10+J103,((J108/100)*10+J103)),-10+J103))"),"")</f>
        <v/>
      </c>
      <c r="K116" s="26" t="str">
        <f>IFERROR(__xludf.DUMMYFUNCTION("IF(OR(K108="""",K111=""""),"""",IF(REGEXMATCH(K111,""W""),IF(K108&lt;0,((-100/K108))*10+K103,((K108/100)*10+K103)),-10+K103))"),"")</f>
        <v/>
      </c>
      <c r="L116" s="26" t="str">
        <f>IFERROR(__xludf.DUMMYFUNCTION("IF(OR(L108="""",L111=""""),"""",IF(REGEXMATCH(L111,""W""),IF(L108&lt;0,((-100/L108))*10+L103,((L108/100)*10+L103)),-10+L103))"),"")</f>
        <v/>
      </c>
      <c r="M116" s="14"/>
      <c r="N116" s="16" t="s">
        <v>89</v>
      </c>
      <c r="O116" s="10" t="str">
        <f>IFERROR(__xludf.DUMMYFUNCTION("IF(AND(C116="""",AND(D116="""",AND(E116="""",AND(F116="""",AND(G116="""",AND(H116="""",AND(I116="""",AND(J116="""",AND(K116="""",L116=""""))))))))),"""",(IF(C111="""",0,IF(REGEXMATCH(C111,""W""),IF(C108&lt;0,((-100/C108))*10,((C108/100)*10)),-10))+IF(D111="""&amp;""",0,IF(REGEXMATCH(D111,""W""),IF(D108&lt;0,((-100/D108))*10,((D108/100)*10)),-10))+IF(E111="""",0,IF(REGEXMATCH(E111,""W""),IF(E108&lt;0,((-100/E108))*10,((E108/100)*10)),-10))+IF(F111="""",0,IF(REGEXMATCH(F111,""W""),IF(F108&lt;0,((-100/F108))*10,((F108/100)*10)"&amp;"),-10))+IF(G111="""",0,IF(REGEXMATCH(G111,""W""),IF(G108&lt;0,((-100/G108))*10,((G108/100)*10)),-10))+IF(H111="""",0,IF(REGEXMATCH(H111,""W""),IF(H108&lt;0,((-100/H108))*10,((H108/100)*10)),-10))+IF(I111="""",0,IF(REGEXMATCH(I111,""W""),IF(I108&lt;0,((-100/I108))*"&amp;"10,((I108/100)*10)),-10))+IF(J111="""",0,IF(REGEXMATCH(J111,""W""),IF(J108&lt;0,((-100/J108))*10,((J108/100)*10)),-10))+IF(K111="""",0,IF(REGEXMATCH(K111,""W""),IF(K108&lt;0,((-100/K108))*10,((K108/100)*10)),-10))+IF(L111="""",0,IF(REGEXMATCH(L111,""W""),IF(L10"&amp;"8&lt;0,((-100/L108))*10,((L108/100)*10)),-10))))"),"")</f>
        <v/>
      </c>
      <c r="P116" s="10" t="str">
        <f>IFERROR(__xludf.DUMMYFUNCTION("IF(AND(C116="""",AND(D116="""",AND(E116="""",AND(F116="""",AND(G116="""",AND(H116="""",AND(I116="""",AND(J116="""",AND(K116="""",L116=""""))))))))),"""",(P103+IF(C111="""",0,IF(REGEXMATCH(C111,""W""),IF(C108&lt;0,((-100/C108))*10,((C108/100)*10)),-10))+IF(D1"&amp;"11="""",0,IF(REGEXMATCH(D111,""W""),IF(D108&lt;0,((-100/D108))*10,((D108/100)*10)),-10))+IF(E111="""",0,IF(REGEXMATCH(E111,""W""),IF(E108&lt;0,((-100/E108))*10,((E108/100)*10)),-10))+IF(F111="""",0,IF(REGEXMATCH(F111,""W""),IF(F108&lt;0,((-100/F108))*10,((F108/100"&amp;")*10)),-10))+IF(G111="""",0,IF(REGEXMATCH(G111,""W""),IF(G108&lt;0,((-100/G108))*10,((G108/100)*10)),-10))+IF(H111="""",0,IF(REGEXMATCH(H111,""W""),IF(H108&lt;0,((-100/H108))*10,((H108/100)*10)),-10))+IF(I111="""",0,IF(REGEXMATCH(I111,""W""),IF(I108&lt;0,((-100/I1"&amp;"08))*10,((I108/100)*10)),-10))+IF(J111="""",0,IF(REGEXMATCH(J111,""W""),IF(J108&lt;0,((-100/J108))*10,((J108/100)*10)),-10))+IF(K111="""",0,IF(REGEXMATCH(K111,""W""),IF(K108&lt;0,((-100/K108))*10,((K108/100)*10)),-10))+IF(L111="""",0,IF(REGEXMATCH(L111,""W""),I"&amp;"F(L108&lt;0,((-100/L108))*10,((L108/100)*10)),-10))))"),"")</f>
        <v/>
      </c>
      <c r="Q116" s="4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</row>
    <row r="118">
      <c r="A118" s="1" t="s">
        <v>272</v>
      </c>
      <c r="B118" s="2"/>
      <c r="C118" s="3" t="s">
        <v>1</v>
      </c>
      <c r="D118" s="3" t="s">
        <v>2</v>
      </c>
      <c r="E118" s="3" t="s">
        <v>3</v>
      </c>
      <c r="F118" s="3" t="s">
        <v>4</v>
      </c>
      <c r="G118" s="3" t="s">
        <v>5</v>
      </c>
      <c r="H118" s="3" t="s">
        <v>6</v>
      </c>
      <c r="I118" s="3" t="s">
        <v>7</v>
      </c>
      <c r="J118" s="3" t="s">
        <v>8</v>
      </c>
      <c r="K118" s="3" t="s">
        <v>9</v>
      </c>
      <c r="L118" s="3" t="s">
        <v>10</v>
      </c>
      <c r="M118" s="2"/>
      <c r="N118" s="4"/>
      <c r="O118" s="3" t="s">
        <v>11</v>
      </c>
      <c r="P118" s="4"/>
      <c r="Q118" s="4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</row>
    <row r="120">
      <c r="A120" s="3" t="s">
        <v>12</v>
      </c>
      <c r="B120" s="2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2"/>
      <c r="N120" s="3" t="s">
        <v>13</v>
      </c>
      <c r="O120" s="7" t="str">
        <f>IF(AND(C121="",AND(D121="",AND(E121="",AND(F121="",AND(G121="",AND(H121="",AND(I121="",AND(J121="",AND(K121="",L121=""))))))))),"",IF(((IF(C121="",1,IF(C121&gt;0,(C121/100)+1,(100/((-1)*C121))+1)))*(IF(D121="",1,IF(D121&gt;0,(D121/100)+1,(100/((-1)*D121))+1)))*(IF(E121="",1,IF(E121&gt;0,(E121/100)+1,(100/((-1)*E121))+1)))*(IF(F121="",1,IF(F121&gt;0,(F121/100)+1,(100/((-1)*F121))+1)))*(IF(G121="",1,IF(G121&gt;0,(G121/100)+1,(100/((-1)*G121))+1)))*(IF(H121="",1,IF(H121&gt;0,(H121/100)+1,(100/((-1)*H121))+1)))*(IF(I121="",1,IF(I121&gt;0,(I121/100)+1,(100/((-1)*I121))+1)))*(IF(J121="",1,IF(J121&gt;0,(J121/100)+1,(100/((-1)*J121))+1)))*(IF(K121="",1,IF(K121&gt;0,(K121/100)+1,(100/((-1)*K121))+1)))*(IF(L121="",1,IF(L121&gt;0,(L121/100)+1,(100/((-1)*L121))+1))))&lt;2,((-100)/(((IF(C121="",1,IF(C121&gt;0,(C121/100)+1,(100/((-1)*C121))+1)))*(IF(D121="",1,IF(D121&gt;0,(D121/100)+1,(100/((-1)*D121))+1)))*(IF(E121="",1,IF(E121&gt;0,(E121/100)+1,(100/((-1)*E121))+1)))*(IF(F121="",1,IF(F121&gt;0,(F121/100)+1,(100/((-1)*F121))+1)))*(IF(G121="",1,IF(G121&gt;0,(G121/100)+1,(100/((-1)*G121))+1)))*(IF(H121="",1,IF(H121&gt;0,(H121/100)+1,(100/((-1)*H121))+1)))*(IF(I121="",1,IF(I121&gt;0,(I121/100)+1,(100/((-1)*I121))+1)))*(IF(J121="",1,IF(J121&gt;0,(J121/100)+1,(100/((-1)*J121))+1)))*(IF(K121="",1,IF(K121&gt;0,(K121/100)+1,(100/((-1)*K121))+1)))*(IF(L121="",1,IF(L121&gt;0,(L121/100)+1,(100/((-1)*L121))+1))))-1)),((((IF(C121="",1,IF(C121&gt;0,(C121/100)+1,(100/((-1)*C121))+1)))*(IF(D121="",1,IF(D121&gt;0,(D121/100)+1,(100/((-1)*D121))+1)))*(IF(E121="",1,IF(E121&gt;0,(E121/100)+1,(100/((-1)*E121))+1)))*(IF(F121="",1,IF(F121&gt;0,(F121/100)+1,(100/((-1)*F121))+1)))*(IF(G121="",1,IF(G121&gt;0,(G121/100)+1,(100/((-1)*G121))+1)))*(IF(H121="",1,IF(H121&gt;0,(H121/100)+1,(100/((-1)*H121))+1)))*(IF(I121="",1,IF(I121&gt;0,(I121/100)+1,(100/((-1)*I121))+1)))*(IF(J121="",1,IF(J121&gt;0,(J121/100)+1,(100/((-1)*J121))+1)))*(IF(K121="",1,IF(K121&gt;0,(K121/100)+1,(100/((-1)*K121))+1)))*(IF(L121="",1,IF(L121&gt;0,(L121/100)+1,(100/((-1)*L121))+1))))-1)*(100))))</f>
        <v/>
      </c>
      <c r="P120" s="4"/>
      <c r="Q120" s="8" t="s">
        <v>35</v>
      </c>
    </row>
    <row r="121">
      <c r="A121" s="3" t="s">
        <v>13</v>
      </c>
      <c r="B121" s="2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2">
        <v>9.0</v>
      </c>
      <c r="N121" s="3" t="s">
        <v>36</v>
      </c>
      <c r="O121" s="10" t="str">
        <f>IF(AND(C121="",AND(D121="",AND(E121="",AND(F121="",AND(G121="",AND(H121="",AND(I121="",AND(J121="",AND(K121="",L121=""))))))))),"",10+IF((IF(((IF(C121="",1,IF(C121&gt;0,(C121/100)+1,(100/((-1)*C121))+1)))*(IF(D121="",1,IF(D121&gt;0,(D121/100)+1,(100/((-1)*D121))+1)))*(IF(E121="",1,IF(E121&gt;0,(E121/100)+1,(100/((-1)*E121))+1)))*(IF(F121="",1,IF(F121&gt;0,(F121/100)+1,(100/((-1)*F121))+1)))*(IF(G121="",1,IF(G121&gt;0,(G121/100)+1,(100/((-1)*G121))+1)))*(IF(H121="",1,IF(H121&gt;0,(H121/100)+1,(100/((-1)*H121))+1)))*(IF(I121="",1,IF(I121&gt;0,(I121/100)+1,(100/((-1)*I121))+1)))*(IF(J121="",1,IF(J121&gt;0,(J121/100)+1,(100/((-1)*J121))+1)))*(IF(K121="",1,IF(K121&gt;0,(K121/100)+1,(100/((-1)*K121))+1)))*(IF(L121="",1,IF(L121&gt;0,(L121/100)+1,(100/((-1)*L121))+1))))&lt;2,((-100)/(((IF(C121="",1,IF(C121&gt;0,(C121/100)+1,(100/((-1)*C121))+1)))*(IF(D121="",1,IF(D121&gt;0,(D121/100)+1,(100/((-1)*D121))+1)))*(IF(E121="",1,IF(E121&gt;0,(E121/100)+1,(100/((-1)*E121))+1)))*(IF(F121="",1,IF(F121&gt;0,(F121/100)+1,(100/((-1)*F121))+1)))*(IF(G121="",1,IF(G121&gt;0,(G121/100)+1,(100/((-1)*G121))+1)))*(IF(H121="",1,IF(H121&gt;0,(H121/100)+1,(100/((-1)*H121))+1)))*(IF(I121="",1,IF(I121&gt;0,(I121/100)+1,(100/((-1)*I121))+1)))*(IF(J121="",1,IF(J121&gt;0,(J121/100)+1,(100/((-1)*J121))+1)))*(IF(K121="",1,IF(K121&gt;0,(K121/100)+1,(100/((-1)*K121))+1)))*(IF(L121="",1,IF(L121&gt;0,(L121/100)+1,(100/((-1)*L121))+1))))-1)),((((IF(C121="",1,IF(C121&gt;0,(C121/100)+1,(100/((-1)*C121))+1)))*(IF(D121="",1,IF(D121&gt;0,(D121/100)+1,(100/((-1)*D121))+1)))*(IF(E121="",1,IF(E121&gt;0,(E121/100)+1,(100/((-1)*E121))+1)))*(IF(F121="",1,IF(F121&gt;0,(F121/100)+1,(100/((-1)*F121))+1)))*(IF(G121="",1,IF(G121&gt;0,(G121/100)+1,(100/((-1)*G121))+1)))*(IF(H121="",1,IF(H121&gt;0,(H121/100)+1,(100/((-1)*H121))+1)))*(IF(I121="",1,IF(I121&gt;0,(I121/100)+1,(100/((-1)*I121))+1)))*(IF(J121="",1,IF(J121&gt;0,(J121/100)+1,(100/((-1)*J121))+1)))*(IF(K121="",1,IF(K121&gt;0,(K121/100)+1,(100/((-1)*K121))+1)))*(IF(L121="",1,IF(L121&gt;0,(L121/100)+1,(100/((-1)*L121))+1))))-1)*(100))))&lt;0,(((-100)/((IF(((IF(C121="",1,IF(C121&gt;0,(C121/100)+1,(100/((-1)*C121))+1)))*(IF(D121="",1,IF(D121&gt;0,(D121/100)+1,(100/((-1)*D121))+1)))*(IF(E121="",1,IF(E121&gt;0,(E121/100)+1,(100/((-1)*E121))+1)))*(IF(F121="",1,IF(F121&gt;0,(F121/100)+1,(100/((-1)*F121))+1)))*(IF(G121="",1,IF(G121&gt;0,(G121/100)+1,(100/((-1)*G121))+1)))*(IF(H121="",1,IF(H121&gt;0,(H121/100)+1,(100/((-1)*H121))+1)))*(IF(I121="",1,IF(I121&gt;0,(I121/100)+1,(100/((-1)*I121))+1)))*(IF(J121="",1,IF(J121&gt;0,(J121/100)+1,(100/((-1)*J121))+1)))*(IF(K121="",1,IF(K121&gt;0,(K121/100)+1,(100/((-1)*K121))+1)))*(IF(L121="",1,IF(L121&gt;0,(L121/100)+1,(100/((-1)*L121))+1))))&lt;2,((-100)/(((IF(C121="",1,IF(C121&gt;0,(C121/100)+1,(100/((-1)*C121))+1)))*(IF(D121="",1,IF(D121&gt;0,(D121/100)+1,(100/((-1)*D121))+1)))*(IF(E121="",1,IF(E121&gt;0,(E121/100)+1,(100/((-1)*E121))+1)))*(IF(F121="",1,IF(F121&gt;0,(F121/100)+1,(100/((-1)*F121))+1)))*(IF(G121="",1,IF(G121&gt;0,(G121/100)+1,(100/((-1)*G121))+1)))*(IF(H121="",1,IF(H121&gt;0,(H121/100)+1,(100/((-1)*H121))+1)))*(IF(I121="",1,IF(I121&gt;0,(I121/100)+1,(100/((-1)*I121))+1)))*(IF(J121="",1,IF(J121&gt;0,(J121/100)+1,(100/((-1)*J121))+1)))*(IF(K121="",1,IF(K121&gt;0,(K121/100)+1,(100/((-1)*K121))+1)))*(IF(L121="",1,IF(L121&gt;0,(L121/100)+1,(100/((-1)*L121))+1))))-1)),((((IF(C121="",1,IF(C121&gt;0,(C121/100)+1,(100/((-1)*C121))+1)))*(IF(D121="",1,IF(D121&gt;0,(D121/100)+1,(100/((-1)*D121))+1)))*(IF(E121="",1,IF(E121&gt;0,(E121/100)+1,(100/((-1)*E121))+1)))*(IF(F121="",1,IF(F121&gt;0,(F121/100)+1,(100/((-1)*F121))+1)))*(IF(G121="",1,IF(G121&gt;0,(G121/100)+1,(100/((-1)*G121))+1)))*(IF(H121="",1,IF(H121&gt;0,(H121/100)+1,(100/((-1)*H121))+1)))*(IF(I121="",1,IF(I121&gt;0,(I121/100)+1,(100/((-1)*I121))+1)))*(IF(J121="",1,IF(J121&gt;0,(J121/100)+1,(100/((-1)*J121))+1)))*(IF(K121="",1,IF(K121&gt;0,(K121/100)+1,(100/((-1)*K121))+1)))*(IF(L121="",1,IF(L121&gt;0,(L121/100)+1,(100/((-1)*L121))+1))))-1)*(100))))))*10),(((IF(((IF(C121="",1,IF(C121&gt;0,(C121/100)+1,(100/((-1)*C121))+1)))*(IF(D121="",1,IF(D121&gt;0,(D121/100)+1,(100/((-1)*D121))+1)))*(IF(E121="",1,IF(E121&gt;0,(E121/100)+1,(100/((-1)*E121))+1)))*(IF(F121="",1,IF(F121&gt;0,(F121/100)+1,(100/((-1)*F121))+1)))*(IF(G121="",1,IF(G121&gt;0,(G121/100)+1,(100/((-1)*G121))+1)))*(IF(H121="",1,IF(H121&gt;0,(H121/100)+1,(100/((-1)*H121))+1)))*(IF(I121="",1,IF(I121&gt;0,(I121/100)+1,(100/((-1)*I121))+1)))*(IF(J121="",1,IF(J121&gt;0,(J121/100)+1,(100/((-1)*J121))+1)))*(IF(K121="",1,IF(K121&gt;0,(K121/100)+1,(100/((-1)*K121))+1)))*(IF(L121="",1,IF(L121&gt;0,(L121/100)+1,(100/((-1)*L121))+1))))&lt;2,((-100)/(((IF(C121="",1,IF(C121&gt;0,(C121/100)+1,(100/((-1)*C121))+1)))*(IF(D121="",1,IF(D121&gt;0,(D121/100)+1,(100/((-1)*D121))+1)))*(IF(E121="",1,IF(E121&gt;0,(E121/100)+1,(100/((-1)*E121))+1)))*(IF(F121="",1,IF(F121&gt;0,(F121/100)+1,(100/((-1)*F121))+1)))*(IF(G121="",1,IF(G121&gt;0,(G121/100)+1,(100/((-1)*G121))+1)))*(IF(H121="",1,IF(H121&gt;0,(H121/100)+1,(100/((-1)*H121))+1)))*(IF(I121="",1,IF(I121&gt;0,(I121/100)+1,(100/((-1)*I121))+1)))*(IF(J121="",1,IF(J121&gt;0,(J121/100)+1,(100/((-1)*J121))+1)))*(IF(K121="",1,IF(K121&gt;0,(K121/100)+1,(100/((-1)*K121))+1)))*(IF(L121="",1,IF(L121&gt;0,(L121/100)+1,(100/((-1)*L121))+1))))-1)),((((IF(C121="",1,IF(C121&gt;0,(C121/100)+1,(100/((-1)*C121))+1)))*(IF(D121="",1,IF(D121&gt;0,(D121/100)+1,(100/((-1)*D121))+1)))*(IF(E121="",1,IF(E121&gt;0,(E121/100)+1,(100/((-1)*E121))+1)))*(IF(F121="",1,IF(F121&gt;0,(F121/100)+1,(100/((-1)*F121))+1)))*(IF(G121="",1,IF(G121&gt;0,(G121/100)+1,(100/((-1)*G121))+1)))*(IF(H121="",1,IF(H121&gt;0,(H121/100)+1,(100/((-1)*H121))+1)))*(IF(I121="",1,IF(I121&gt;0,(I121/100)+1,(100/((-1)*I121))+1)))*(IF(J121="",1,IF(J121&gt;0,(J121/100)+1,(100/((-1)*J121))+1)))*(IF(K121="",1,IF(K121&gt;0,(K121/100)+1,(100/((-1)*K121))+1)))*(IF(L121="",1,IF(L121&gt;0,(L121/100)+1,(100/((-1)*L121))+1))))-1)*(100))))/100)*10)))</f>
        <v/>
      </c>
      <c r="P121" s="4"/>
      <c r="Q121" s="4"/>
    </row>
    <row r="122">
      <c r="A122" s="3" t="s">
        <v>37</v>
      </c>
      <c r="B122" s="2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2"/>
      <c r="N122" s="4"/>
      <c r="O122" s="4"/>
      <c r="P122" s="4"/>
      <c r="Q122" s="4"/>
    </row>
    <row r="123">
      <c r="A123" s="3" t="s">
        <v>48</v>
      </c>
      <c r="B123" s="2"/>
      <c r="C123" s="5"/>
      <c r="D123" s="11"/>
      <c r="E123" s="5"/>
      <c r="F123" s="5"/>
      <c r="G123" s="5"/>
      <c r="H123" s="5"/>
      <c r="I123" s="5"/>
      <c r="J123" s="5"/>
      <c r="K123" s="5"/>
      <c r="L123" s="11"/>
      <c r="M123" s="2"/>
      <c r="N123" s="4"/>
      <c r="O123" s="3" t="s">
        <v>56</v>
      </c>
      <c r="P123" s="3" t="s">
        <v>57</v>
      </c>
      <c r="Q123" s="4"/>
    </row>
    <row r="124">
      <c r="A124" s="3" t="s">
        <v>59</v>
      </c>
      <c r="B124" s="2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2"/>
      <c r="N124" s="3" t="s">
        <v>65</v>
      </c>
      <c r="O124" s="12" t="str">
        <f>IFERROR(__xludf.DUMMYFUNCTION("IF(OR(COUNTA(C121:L121) = 0, COUNTA(C124:L124) = 0), """", IFERROR(TEXTJOIN("", "", TRUE, FILTER(C118:L118, (C124:L124 = ""W"") * (C121:L121 = MAX(FILTER(C121:L121, C124:L124 = ""W""))))), """"))"),"")</f>
        <v/>
      </c>
      <c r="P124" s="12" t="str">
        <f>IFERROR(__xludf.DUMMYFUNCTION("IF(COUNTA(C129:L129) = 0, """", IFERROR(TEXTJOIN("", "", TRUE, FILTER(C118:L118, C129:L129 = MAX(C129:L129))), """"))"),"")</f>
        <v/>
      </c>
      <c r="Q124" s="4"/>
    </row>
    <row r="125">
      <c r="A125" s="1" t="s">
        <v>81</v>
      </c>
      <c r="B125" s="2"/>
      <c r="C125" s="4" t="str">
        <f t="shared" ref="C125:L125" si="37">IF(OR(C121="",C124=""),"",C112+COUNTIF(C124,"W"))</f>
        <v/>
      </c>
      <c r="D125" s="4" t="str">
        <f t="shared" si="37"/>
        <v/>
      </c>
      <c r="E125" s="4" t="str">
        <f t="shared" si="37"/>
        <v/>
      </c>
      <c r="F125" s="4" t="str">
        <f t="shared" si="37"/>
        <v/>
      </c>
      <c r="G125" s="4" t="str">
        <f t="shared" si="37"/>
        <v/>
      </c>
      <c r="H125" s="4" t="str">
        <f t="shared" si="37"/>
        <v/>
      </c>
      <c r="I125" s="4" t="str">
        <f t="shared" si="37"/>
        <v/>
      </c>
      <c r="J125" s="4" t="str">
        <f t="shared" si="37"/>
        <v/>
      </c>
      <c r="K125" s="4" t="str">
        <f t="shared" si="37"/>
        <v/>
      </c>
      <c r="L125" s="4" t="str">
        <f t="shared" si="37"/>
        <v/>
      </c>
      <c r="M125" s="2"/>
      <c r="N125" s="3" t="s">
        <v>82</v>
      </c>
      <c r="O125" s="4" t="str">
        <f>IFERROR(__xludf.DUMMYFUNCTION("IF(OR(COUNTA(C121:L121) = 0, COUNTA(C124:L124) = 0), """", IFERROR(TEXTJOIN("", "", TRUE, FILTER(C118:L118, (C124:L124 = ""L"") * (C121:L121 = MIN(FILTER(C121:L121, C124:L124 = ""L""))))), """"))"),"")</f>
        <v/>
      </c>
      <c r="P125" s="12" t="str">
        <f>IFERROR(__xludf.DUMMYFUNCTION("IF(COUNTA(C129:L129) = 0, """", IFERROR(TEXTJOIN("", "", TRUE, FILTER(C118:L118, C129:L129 = MIN(C129:L129))), """"))"),"")</f>
        <v/>
      </c>
      <c r="Q125" s="4"/>
    </row>
    <row r="126">
      <c r="A126" s="1" t="s">
        <v>83</v>
      </c>
      <c r="B126" s="2"/>
      <c r="C126" s="27" t="str">
        <f t="shared" ref="C126:L126" si="38">IF(OR(C121="",C124=""),"",C113+COUNTIF(C124,"L"))</f>
        <v/>
      </c>
      <c r="D126" s="27" t="str">
        <f t="shared" si="38"/>
        <v/>
      </c>
      <c r="E126" s="27" t="str">
        <f t="shared" si="38"/>
        <v/>
      </c>
      <c r="F126" s="27" t="str">
        <f t="shared" si="38"/>
        <v/>
      </c>
      <c r="G126" s="27" t="str">
        <f t="shared" si="38"/>
        <v/>
      </c>
      <c r="H126" s="27" t="str">
        <f t="shared" si="38"/>
        <v/>
      </c>
      <c r="I126" s="27" t="str">
        <f t="shared" si="38"/>
        <v/>
      </c>
      <c r="J126" s="27" t="str">
        <f t="shared" si="38"/>
        <v/>
      </c>
      <c r="K126" s="27" t="str">
        <f t="shared" si="38"/>
        <v/>
      </c>
      <c r="L126" s="27" t="str">
        <f t="shared" si="38"/>
        <v/>
      </c>
      <c r="M126" s="2"/>
      <c r="N126" s="3" t="s">
        <v>84</v>
      </c>
      <c r="O126" s="12" t="str">
        <f>IFERROR(__xludf.DUMMYFUNCTION("IF(COUNTA(C121:L121) = 0, """", IFERROR(TEXTJOIN("", "", TRUE, FILTER(C118:L118, C121:L121 = MAX(C121:L121))), """"))"),"")</f>
        <v/>
      </c>
      <c r="P126" s="4" t="str">
        <f>IFERROR(__xludf.DUMMYFUNCTION("IF(COUNTA(C121:L121) = 0, """", IFERROR(TEXTJOIN("", "", TRUE, FILTER(C118:L118, C128:L128 = MAX(C128:L128))), """"))"),"")</f>
        <v/>
      </c>
      <c r="Q126" s="4"/>
    </row>
    <row r="127">
      <c r="A127" s="3" t="s">
        <v>85</v>
      </c>
      <c r="B127" s="2"/>
      <c r="C127" s="24" t="str">
        <f t="shared" ref="C127:L127" si="39">IF(OR(C121="",C124=""),"",(C125/(C125+C126)))</f>
        <v/>
      </c>
      <c r="D127" s="24" t="str">
        <f t="shared" si="39"/>
        <v/>
      </c>
      <c r="E127" s="24" t="str">
        <f t="shared" si="39"/>
        <v/>
      </c>
      <c r="F127" s="24" t="str">
        <f t="shared" si="39"/>
        <v/>
      </c>
      <c r="G127" s="24" t="str">
        <f t="shared" si="39"/>
        <v/>
      </c>
      <c r="H127" s="24" t="str">
        <f t="shared" si="39"/>
        <v/>
      </c>
      <c r="I127" s="24" t="str">
        <f t="shared" si="39"/>
        <v/>
      </c>
      <c r="J127" s="24" t="str">
        <f t="shared" si="39"/>
        <v/>
      </c>
      <c r="K127" s="24" t="str">
        <f t="shared" si="39"/>
        <v/>
      </c>
      <c r="L127" s="24" t="str">
        <f t="shared" si="39"/>
        <v/>
      </c>
      <c r="M127" s="14"/>
      <c r="N127" s="3" t="s">
        <v>86</v>
      </c>
      <c r="O127" s="4" t="str">
        <f>IFERROR(__xludf.DUMMYFUNCTION("IF(COUNTA(C121:L121) = 0, """", IFERROR(TEXTJOIN("", "", TRUE, FILTER(C118:L118, C121:L121 = MIN(C121:L121))), """"))"),"")</f>
        <v/>
      </c>
      <c r="P127" s="4" t="str">
        <f>IFERROR(__xludf.DUMMYFUNCTION("IF(COUNTA(C121:L121) = 0, """", IFERROR(TEXTJOIN("", "", TRUE, FILTER(C118:L118, C128:L128 = MIN(C128:L128))), """"))"),"")</f>
        <v/>
      </c>
      <c r="Q127" s="4"/>
    </row>
    <row r="128">
      <c r="A128" s="3" t="s">
        <v>87</v>
      </c>
      <c r="B128" s="2"/>
      <c r="C128" s="25" t="str">
        <f t="shared" ref="C128:L128" si="40">IF(C121="","",IF(((IF(C121 &lt;0,((-100/C121)+1),((C121/100)+1))+(IF(C115&lt;0,((-100/C115)+1),((C115/100)+1)))*(C112+C113))/(C112+C113+1))&lt;2,(-100/(((IF(C121 &lt;0,((-100/C121)+1),((C121/100)+1))+(IF(C115&lt;0,((-100/C115)+1),((C115/100)+1)))*(C112+C113))/(C112+C113+1))-1)),(((IF(C121 &lt;0,((-100/C121)+1),((C121/100)+1))+(IF(C115&lt;0,((-100/C115)+1),((C115/100)+1)))*(C112+C113))/(C112+C113+1))-1)*100))</f>
        <v/>
      </c>
      <c r="D128" s="25" t="str">
        <f t="shared" si="40"/>
        <v/>
      </c>
      <c r="E128" s="25" t="str">
        <f t="shared" si="40"/>
        <v/>
      </c>
      <c r="F128" s="25" t="str">
        <f t="shared" si="40"/>
        <v/>
      </c>
      <c r="G128" s="25" t="str">
        <f t="shared" si="40"/>
        <v/>
      </c>
      <c r="H128" s="25" t="str">
        <f t="shared" si="40"/>
        <v/>
      </c>
      <c r="I128" s="25" t="str">
        <f t="shared" si="40"/>
        <v/>
      </c>
      <c r="J128" s="25" t="str">
        <f t="shared" si="40"/>
        <v/>
      </c>
      <c r="K128" s="25" t="str">
        <f t="shared" si="40"/>
        <v/>
      </c>
      <c r="L128" s="25" t="str">
        <f t="shared" si="40"/>
        <v/>
      </c>
      <c r="M128" s="14"/>
      <c r="N128" s="4"/>
      <c r="O128" s="12"/>
      <c r="P128" s="12"/>
      <c r="Q128" s="4"/>
    </row>
    <row r="129">
      <c r="A129" s="16" t="s">
        <v>88</v>
      </c>
      <c r="B129" s="2"/>
      <c r="C129" s="26" t="str">
        <f>IFERROR(__xludf.DUMMYFUNCTION("IF(OR(C121="""",C124=""""),"""",IF(REGEXMATCH(C124,""W""),IF(C121&lt;0,((-100/C121))*10+C116,((C121/100)*10+C116)),-10+C116))"),"")</f>
        <v/>
      </c>
      <c r="D129" s="26" t="str">
        <f>IFERROR(__xludf.DUMMYFUNCTION("IF(OR(D121="""",D124=""""),"""",IF(REGEXMATCH(D124,""W""),IF(D121&lt;0,((-100/D121))*10+D116,((D121/100)*10+D116)),-10+D116))"),"")</f>
        <v/>
      </c>
      <c r="E129" s="26" t="str">
        <f>IFERROR(__xludf.DUMMYFUNCTION("IF(OR(E121="""",E124=""""),"""",IF(REGEXMATCH(E124,""W""),IF(E121&lt;0,((-100/E121))*10+E116,((E121/100)*10+E116)),-10+E116))"),"")</f>
        <v/>
      </c>
      <c r="F129" s="26" t="str">
        <f>IFERROR(__xludf.DUMMYFUNCTION("IF(OR(F121="""",F124=""""),"""",IF(REGEXMATCH(F124,""W""),IF(F121&lt;0,((-100/F121))*10+F116,((F121/100)*10+F116)),-10+F116))"),"")</f>
        <v/>
      </c>
      <c r="G129" s="26" t="str">
        <f>IFERROR(__xludf.DUMMYFUNCTION("IF(OR(G121="""",G124=""""),"""",IF(REGEXMATCH(G124,""W""),IF(G121&lt;0,((-100/G121))*10+G116,((G121/100)*10+G116)),-10+G116))"),"")</f>
        <v/>
      </c>
      <c r="H129" s="26" t="str">
        <f>IFERROR(__xludf.DUMMYFUNCTION("IF(OR(H121="""",H124=""""),"""",IF(REGEXMATCH(H124,""W""),IF(H121&lt;0,((-100/H121))*10+H116,((H121/100)*10+H116)),-10+H116))"),"")</f>
        <v/>
      </c>
      <c r="I129" s="26" t="str">
        <f>IFERROR(__xludf.DUMMYFUNCTION("IF(OR(I121="""",I124=""""),"""",IF(REGEXMATCH(I124,""W""),IF(I121&lt;0,((-100/I121))*10+I116,((I121/100)*10+I116)),-10+I116))"),"")</f>
        <v/>
      </c>
      <c r="J129" s="26" t="str">
        <f>IFERROR(__xludf.DUMMYFUNCTION("IF(OR(J121="""",J124=""""),"""",IF(REGEXMATCH(J124,""W""),IF(J121&lt;0,((-100/J121))*10+J116,((J121/100)*10+J116)),-10+J116))"),"")</f>
        <v/>
      </c>
      <c r="K129" s="26" t="str">
        <f>IFERROR(__xludf.DUMMYFUNCTION("IF(OR(K121="""",K124=""""),"""",IF(REGEXMATCH(K124,""W""),IF(K121&lt;0,((-100/K121))*10+K116,((K121/100)*10+K116)),-10+K116))"),"")</f>
        <v/>
      </c>
      <c r="L129" s="26" t="str">
        <f>IFERROR(__xludf.DUMMYFUNCTION("IF(OR(L121="""",L124=""""),"""",IF(REGEXMATCH(L124,""W""),IF(L121&lt;0,((-100/L121))*10+L116,((L121/100)*10+L116)),-10+L116))"),"")</f>
        <v/>
      </c>
      <c r="M129" s="14"/>
      <c r="N129" s="16" t="s">
        <v>89</v>
      </c>
      <c r="O129" s="10" t="str">
        <f>IFERROR(__xludf.DUMMYFUNCTION("IF(AND(C129="""",AND(D129="""",AND(E129="""",AND(F129="""",AND(G129="""",AND(H129="""",AND(I129="""",AND(J129="""",AND(K129="""",L129=""""))))))))),"""",(IF(C124="""",0,IF(REGEXMATCH(C124,""W""),IF(C121&lt;0,((-100/C121))*10,((C121/100)*10)),-10))+IF(D124="""&amp;""",0,IF(REGEXMATCH(D124,""W""),IF(D121&lt;0,((-100/D121))*10,((D121/100)*10)),-10))+IF(E124="""",0,IF(REGEXMATCH(E124,""W""),IF(E121&lt;0,((-100/E121))*10,((E121/100)*10)),-10))+IF(F124="""",0,IF(REGEXMATCH(F124,""W""),IF(F121&lt;0,((-100/F121))*10,((F121/100)*10)"&amp;"),-10))+IF(G124="""",0,IF(REGEXMATCH(G124,""W""),IF(G121&lt;0,((-100/G121))*10,((G121/100)*10)),-10))+IF(H124="""",0,IF(REGEXMATCH(H124,""W""),IF(H121&lt;0,((-100/H121))*10,((H121/100)*10)),-10))+IF(I124="""",0,IF(REGEXMATCH(I124,""W""),IF(I121&lt;0,((-100/I121))*"&amp;"10,((I121/100)*10)),-10))+IF(J124="""",0,IF(REGEXMATCH(J124,""W""),IF(J121&lt;0,((-100/J121))*10,((J121/100)*10)),-10))+IF(K124="""",0,IF(REGEXMATCH(K124,""W""),IF(K121&lt;0,((-100/K121))*10,((K121/100)*10)),-10))+IF(L124="""",0,IF(REGEXMATCH(L124,""W""),IF(L12"&amp;"1&lt;0,((-100/L121))*10,((L121/100)*10)),-10))))"),"")</f>
        <v/>
      </c>
      <c r="P129" s="10" t="str">
        <f>IFERROR(__xludf.DUMMYFUNCTION("IF(AND(C129="""",AND(D129="""",AND(E129="""",AND(F129="""",AND(G129="""",AND(H129="""",AND(I129="""",AND(J129="""",AND(K129="""",L129=""""))))))))),"""",(P116+IF(C124="""",0,IF(REGEXMATCH(C124,""W""),IF(C121&lt;0,((-100/C121))*10,((C121/100)*10)),-10))+IF(D1"&amp;"24="""",0,IF(REGEXMATCH(D124,""W""),IF(D121&lt;0,((-100/D121))*10,((D121/100)*10)),-10))+IF(E124="""",0,IF(REGEXMATCH(E124,""W""),IF(E121&lt;0,((-100/E121))*10,((E121/100)*10)),-10))+IF(F124="""",0,IF(REGEXMATCH(F124,""W""),IF(F121&lt;0,((-100/F121))*10,((F121/100"&amp;")*10)),-10))+IF(G124="""",0,IF(REGEXMATCH(G124,""W""),IF(G121&lt;0,((-100/G121))*10,((G121/100)*10)),-10))+IF(H124="""",0,IF(REGEXMATCH(H124,""W""),IF(H121&lt;0,((-100/H121))*10,((H121/100)*10)),-10))+IF(I124="""",0,IF(REGEXMATCH(I124,""W""),IF(I121&lt;0,((-100/I1"&amp;"21))*10,((I121/100)*10)),-10))+IF(J124="""",0,IF(REGEXMATCH(J124,""W""),IF(J121&lt;0,((-100/J121))*10,((J121/100)*10)),-10))+IF(K124="""",0,IF(REGEXMATCH(K124,""W""),IF(K121&lt;0,((-100/K121))*10,((K121/100)*10)),-10))+IF(L124="""",0,IF(REGEXMATCH(L124,""W""),I"&amp;"F(L121&lt;0,((-100/L121))*10,((L121/100)*10)),-10))))"),"")</f>
        <v/>
      </c>
      <c r="Q129" s="4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</row>
    <row r="131">
      <c r="A131" s="1" t="s">
        <v>329</v>
      </c>
      <c r="B131" s="2"/>
      <c r="C131" s="3" t="s">
        <v>1</v>
      </c>
      <c r="D131" s="3" t="s">
        <v>2</v>
      </c>
      <c r="E131" s="3" t="s">
        <v>3</v>
      </c>
      <c r="F131" s="3" t="s">
        <v>4</v>
      </c>
      <c r="G131" s="3" t="s">
        <v>5</v>
      </c>
      <c r="H131" s="3" t="s">
        <v>6</v>
      </c>
      <c r="I131" s="3" t="s">
        <v>7</v>
      </c>
      <c r="J131" s="3" t="s">
        <v>8</v>
      </c>
      <c r="K131" s="3" t="s">
        <v>9</v>
      </c>
      <c r="L131" s="3" t="s">
        <v>10</v>
      </c>
      <c r="M131" s="2"/>
      <c r="N131" s="4"/>
      <c r="O131" s="3" t="s">
        <v>11</v>
      </c>
      <c r="P131" s="4"/>
      <c r="Q131" s="4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</row>
    <row r="133">
      <c r="A133" s="3" t="s">
        <v>12</v>
      </c>
      <c r="B133" s="2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2"/>
      <c r="N133" s="3" t="s">
        <v>13</v>
      </c>
      <c r="O133" s="7" t="str">
        <f>IF(AND(C134="",AND(D134="",AND(E134="",AND(F134="",AND(G134="",AND(H134="",AND(I134="",AND(J134="",AND(K134="",L134=""))))))))),"",IF(((IF(C134="",1,IF(C134&gt;0,(C134/100)+1,(100/((-1)*C134))+1)))*(IF(D134="",1,IF(D134&gt;0,(D134/100)+1,(100/((-1)*D134))+1)))*(IF(E134="",1,IF(E134&gt;0,(E134/100)+1,(100/((-1)*E134))+1)))*(IF(F134="",1,IF(F134&gt;0,(F134/100)+1,(100/((-1)*F134))+1)))*(IF(G134="",1,IF(G134&gt;0,(G134/100)+1,(100/((-1)*G134))+1)))*(IF(H134="",1,IF(H134&gt;0,(H134/100)+1,(100/((-1)*H134))+1)))*(IF(I134="",1,IF(I134&gt;0,(I134/100)+1,(100/((-1)*I134))+1)))*(IF(J134="",1,IF(J134&gt;0,(J134/100)+1,(100/((-1)*J134))+1)))*(IF(K134="",1,IF(K134&gt;0,(K134/100)+1,(100/((-1)*K134))+1)))*(IF(L134="",1,IF(L134&gt;0,(L134/100)+1,(100/((-1)*L134))+1))))&lt;2,((-100)/(((IF(C134="",1,IF(C134&gt;0,(C134/100)+1,(100/((-1)*C134))+1)))*(IF(D134="",1,IF(D134&gt;0,(D134/100)+1,(100/((-1)*D134))+1)))*(IF(E134="",1,IF(E134&gt;0,(E134/100)+1,(100/((-1)*E134))+1)))*(IF(F134="",1,IF(F134&gt;0,(F134/100)+1,(100/((-1)*F134))+1)))*(IF(G134="",1,IF(G134&gt;0,(G134/100)+1,(100/((-1)*G134))+1)))*(IF(H134="",1,IF(H134&gt;0,(H134/100)+1,(100/((-1)*H134))+1)))*(IF(I134="",1,IF(I134&gt;0,(I134/100)+1,(100/((-1)*I134))+1)))*(IF(J134="",1,IF(J134&gt;0,(J134/100)+1,(100/((-1)*J134))+1)))*(IF(K134="",1,IF(K134&gt;0,(K134/100)+1,(100/((-1)*K134))+1)))*(IF(L134="",1,IF(L134&gt;0,(L134/100)+1,(100/((-1)*L134))+1))))-1)),((((IF(C134="",1,IF(C134&gt;0,(C134/100)+1,(100/((-1)*C134))+1)))*(IF(D134="",1,IF(D134&gt;0,(D134/100)+1,(100/((-1)*D134))+1)))*(IF(E134="",1,IF(E134&gt;0,(E134/100)+1,(100/((-1)*E134))+1)))*(IF(F134="",1,IF(F134&gt;0,(F134/100)+1,(100/((-1)*F134))+1)))*(IF(G134="",1,IF(G134&gt;0,(G134/100)+1,(100/((-1)*G134))+1)))*(IF(H134="",1,IF(H134&gt;0,(H134/100)+1,(100/((-1)*H134))+1)))*(IF(I134="",1,IF(I134&gt;0,(I134/100)+1,(100/((-1)*I134))+1)))*(IF(J134="",1,IF(J134&gt;0,(J134/100)+1,(100/((-1)*J134))+1)))*(IF(K134="",1,IF(K134&gt;0,(K134/100)+1,(100/((-1)*K134))+1)))*(IF(L134="",1,IF(L134&gt;0,(L134/100)+1,(100/((-1)*L134))+1))))-1)*(100))))</f>
        <v/>
      </c>
      <c r="P133" s="4"/>
      <c r="Q133" s="8" t="s">
        <v>35</v>
      </c>
    </row>
    <row r="134">
      <c r="A134" s="3" t="s">
        <v>13</v>
      </c>
      <c r="B134" s="2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2">
        <v>10.0</v>
      </c>
      <c r="N134" s="3" t="s">
        <v>36</v>
      </c>
      <c r="O134" s="10" t="str">
        <f>IF(AND(C134="",AND(D134="",AND(E134="",AND(F134="",AND(G134="",AND(H134="",AND(I134="",AND(J134="",AND(K134="",L134=""))))))))),"",10+IF((IF(((IF(C134="",1,IF(C134&gt;0,(C134/100)+1,(100/((-1)*C134))+1)))*(IF(D134="",1,IF(D134&gt;0,(D134/100)+1,(100/((-1)*D134))+1)))*(IF(E134="",1,IF(E134&gt;0,(E134/100)+1,(100/((-1)*E134))+1)))*(IF(F134="",1,IF(F134&gt;0,(F134/100)+1,(100/((-1)*F134))+1)))*(IF(G134="",1,IF(G134&gt;0,(G134/100)+1,(100/((-1)*G134))+1)))*(IF(H134="",1,IF(H134&gt;0,(H134/100)+1,(100/((-1)*H134))+1)))*(IF(I134="",1,IF(I134&gt;0,(I134/100)+1,(100/((-1)*I134))+1)))*(IF(J134="",1,IF(J134&gt;0,(J134/100)+1,(100/((-1)*J134))+1)))*(IF(K134="",1,IF(K134&gt;0,(K134/100)+1,(100/((-1)*K134))+1)))*(IF(L134="",1,IF(L134&gt;0,(L134/100)+1,(100/((-1)*L134))+1))))&lt;2,((-100)/(((IF(C134="",1,IF(C134&gt;0,(C134/100)+1,(100/((-1)*C134))+1)))*(IF(D134="",1,IF(D134&gt;0,(D134/100)+1,(100/((-1)*D134))+1)))*(IF(E134="",1,IF(E134&gt;0,(E134/100)+1,(100/((-1)*E134))+1)))*(IF(F134="",1,IF(F134&gt;0,(F134/100)+1,(100/((-1)*F134))+1)))*(IF(G134="",1,IF(G134&gt;0,(G134/100)+1,(100/((-1)*G134))+1)))*(IF(H134="",1,IF(H134&gt;0,(H134/100)+1,(100/((-1)*H134))+1)))*(IF(I134="",1,IF(I134&gt;0,(I134/100)+1,(100/((-1)*I134))+1)))*(IF(J134="",1,IF(J134&gt;0,(J134/100)+1,(100/((-1)*J134))+1)))*(IF(K134="",1,IF(K134&gt;0,(K134/100)+1,(100/((-1)*K134))+1)))*(IF(L134="",1,IF(L134&gt;0,(L134/100)+1,(100/((-1)*L134))+1))))-1)),((((IF(C134="",1,IF(C134&gt;0,(C134/100)+1,(100/((-1)*C134))+1)))*(IF(D134="",1,IF(D134&gt;0,(D134/100)+1,(100/((-1)*D134))+1)))*(IF(E134="",1,IF(E134&gt;0,(E134/100)+1,(100/((-1)*E134))+1)))*(IF(F134="",1,IF(F134&gt;0,(F134/100)+1,(100/((-1)*F134))+1)))*(IF(G134="",1,IF(G134&gt;0,(G134/100)+1,(100/((-1)*G134))+1)))*(IF(H134="",1,IF(H134&gt;0,(H134/100)+1,(100/((-1)*H134))+1)))*(IF(I134="",1,IF(I134&gt;0,(I134/100)+1,(100/((-1)*I134))+1)))*(IF(J134="",1,IF(J134&gt;0,(J134/100)+1,(100/((-1)*J134))+1)))*(IF(K134="",1,IF(K134&gt;0,(K134/100)+1,(100/((-1)*K134))+1)))*(IF(L134="",1,IF(L134&gt;0,(L134/100)+1,(100/((-1)*L134))+1))))-1)*(100))))&lt;0,(((-100)/((IF(((IF(C134="",1,IF(C134&gt;0,(C134/100)+1,(100/((-1)*C134))+1)))*(IF(D134="",1,IF(D134&gt;0,(D134/100)+1,(100/((-1)*D134))+1)))*(IF(E134="",1,IF(E134&gt;0,(E134/100)+1,(100/((-1)*E134))+1)))*(IF(F134="",1,IF(F134&gt;0,(F134/100)+1,(100/((-1)*F134))+1)))*(IF(G134="",1,IF(G134&gt;0,(G134/100)+1,(100/((-1)*G134))+1)))*(IF(H134="",1,IF(H134&gt;0,(H134/100)+1,(100/((-1)*H134))+1)))*(IF(I134="",1,IF(I134&gt;0,(I134/100)+1,(100/((-1)*I134))+1)))*(IF(J134="",1,IF(J134&gt;0,(J134/100)+1,(100/((-1)*J134))+1)))*(IF(K134="",1,IF(K134&gt;0,(K134/100)+1,(100/((-1)*K134))+1)))*(IF(L134="",1,IF(L134&gt;0,(L134/100)+1,(100/((-1)*L134))+1))))&lt;2,((-100)/(((IF(C134="",1,IF(C134&gt;0,(C134/100)+1,(100/((-1)*C134))+1)))*(IF(D134="",1,IF(D134&gt;0,(D134/100)+1,(100/((-1)*D134))+1)))*(IF(E134="",1,IF(E134&gt;0,(E134/100)+1,(100/((-1)*E134))+1)))*(IF(F134="",1,IF(F134&gt;0,(F134/100)+1,(100/((-1)*F134))+1)))*(IF(G134="",1,IF(G134&gt;0,(G134/100)+1,(100/((-1)*G134))+1)))*(IF(H134="",1,IF(H134&gt;0,(H134/100)+1,(100/((-1)*H134))+1)))*(IF(I134="",1,IF(I134&gt;0,(I134/100)+1,(100/((-1)*I134))+1)))*(IF(J134="",1,IF(J134&gt;0,(J134/100)+1,(100/((-1)*J134))+1)))*(IF(K134="",1,IF(K134&gt;0,(K134/100)+1,(100/((-1)*K134))+1)))*(IF(L134="",1,IF(L134&gt;0,(L134/100)+1,(100/((-1)*L134))+1))))-1)),((((IF(C134="",1,IF(C134&gt;0,(C134/100)+1,(100/((-1)*C134))+1)))*(IF(D134="",1,IF(D134&gt;0,(D134/100)+1,(100/((-1)*D134))+1)))*(IF(E134="",1,IF(E134&gt;0,(E134/100)+1,(100/((-1)*E134))+1)))*(IF(F134="",1,IF(F134&gt;0,(F134/100)+1,(100/((-1)*F134))+1)))*(IF(G134="",1,IF(G134&gt;0,(G134/100)+1,(100/((-1)*G134))+1)))*(IF(H134="",1,IF(H134&gt;0,(H134/100)+1,(100/((-1)*H134))+1)))*(IF(I134="",1,IF(I134&gt;0,(I134/100)+1,(100/((-1)*I134))+1)))*(IF(J134="",1,IF(J134&gt;0,(J134/100)+1,(100/((-1)*J134))+1)))*(IF(K134="",1,IF(K134&gt;0,(K134/100)+1,(100/((-1)*K134))+1)))*(IF(L134="",1,IF(L134&gt;0,(L134/100)+1,(100/((-1)*L134))+1))))-1)*(100))))))*10),(((IF(((IF(C134="",1,IF(C134&gt;0,(C134/100)+1,(100/((-1)*C134))+1)))*(IF(D134="",1,IF(D134&gt;0,(D134/100)+1,(100/((-1)*D134))+1)))*(IF(E134="",1,IF(E134&gt;0,(E134/100)+1,(100/((-1)*E134))+1)))*(IF(F134="",1,IF(F134&gt;0,(F134/100)+1,(100/((-1)*F134))+1)))*(IF(G134="",1,IF(G134&gt;0,(G134/100)+1,(100/((-1)*G134))+1)))*(IF(H134="",1,IF(H134&gt;0,(H134/100)+1,(100/((-1)*H134))+1)))*(IF(I134="",1,IF(I134&gt;0,(I134/100)+1,(100/((-1)*I134))+1)))*(IF(J134="",1,IF(J134&gt;0,(J134/100)+1,(100/((-1)*J134))+1)))*(IF(K134="",1,IF(K134&gt;0,(K134/100)+1,(100/((-1)*K134))+1)))*(IF(L134="",1,IF(L134&gt;0,(L134/100)+1,(100/((-1)*L134))+1))))&lt;2,((-100)/(((IF(C134="",1,IF(C134&gt;0,(C134/100)+1,(100/((-1)*C134))+1)))*(IF(D134="",1,IF(D134&gt;0,(D134/100)+1,(100/((-1)*D134))+1)))*(IF(E134="",1,IF(E134&gt;0,(E134/100)+1,(100/((-1)*E134))+1)))*(IF(F134="",1,IF(F134&gt;0,(F134/100)+1,(100/((-1)*F134))+1)))*(IF(G134="",1,IF(G134&gt;0,(G134/100)+1,(100/((-1)*G134))+1)))*(IF(H134="",1,IF(H134&gt;0,(H134/100)+1,(100/((-1)*H134))+1)))*(IF(I134="",1,IF(I134&gt;0,(I134/100)+1,(100/((-1)*I134))+1)))*(IF(J134="",1,IF(J134&gt;0,(J134/100)+1,(100/((-1)*J134))+1)))*(IF(K134="",1,IF(K134&gt;0,(K134/100)+1,(100/((-1)*K134))+1)))*(IF(L134="",1,IF(L134&gt;0,(L134/100)+1,(100/((-1)*L134))+1))))-1)),((((IF(C134="",1,IF(C134&gt;0,(C134/100)+1,(100/((-1)*C134))+1)))*(IF(D134="",1,IF(D134&gt;0,(D134/100)+1,(100/((-1)*D134))+1)))*(IF(E134="",1,IF(E134&gt;0,(E134/100)+1,(100/((-1)*E134))+1)))*(IF(F134="",1,IF(F134&gt;0,(F134/100)+1,(100/((-1)*F134))+1)))*(IF(G134="",1,IF(G134&gt;0,(G134/100)+1,(100/((-1)*G134))+1)))*(IF(H134="",1,IF(H134&gt;0,(H134/100)+1,(100/((-1)*H134))+1)))*(IF(I134="",1,IF(I134&gt;0,(I134/100)+1,(100/((-1)*I134))+1)))*(IF(J134="",1,IF(J134&gt;0,(J134/100)+1,(100/((-1)*J134))+1)))*(IF(K134="",1,IF(K134&gt;0,(K134/100)+1,(100/((-1)*K134))+1)))*(IF(L134="",1,IF(L134&gt;0,(L134/100)+1,(100/((-1)*L134))+1))))-1)*(100))))/100)*10)))</f>
        <v/>
      </c>
      <c r="P134" s="4"/>
      <c r="Q134" s="4"/>
    </row>
    <row r="135">
      <c r="A135" s="3" t="s">
        <v>37</v>
      </c>
      <c r="B135" s="2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2"/>
      <c r="N135" s="4"/>
      <c r="O135" s="4"/>
      <c r="P135" s="4"/>
      <c r="Q135" s="4"/>
    </row>
    <row r="136">
      <c r="A136" s="3" t="s">
        <v>48</v>
      </c>
      <c r="B136" s="2"/>
      <c r="C136" s="5"/>
      <c r="D136" s="5"/>
      <c r="E136" s="5"/>
      <c r="F136" s="11"/>
      <c r="G136" s="5"/>
      <c r="H136" s="5"/>
      <c r="I136" s="5"/>
      <c r="J136" s="5"/>
      <c r="K136" s="5"/>
      <c r="L136" s="5"/>
      <c r="M136" s="2"/>
      <c r="N136" s="4"/>
      <c r="O136" s="3" t="s">
        <v>56</v>
      </c>
      <c r="P136" s="3" t="s">
        <v>57</v>
      </c>
      <c r="Q136" s="4"/>
    </row>
    <row r="137">
      <c r="A137" s="3" t="s">
        <v>59</v>
      </c>
      <c r="B137" s="2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2"/>
      <c r="N137" s="3" t="s">
        <v>65</v>
      </c>
      <c r="O137" s="12" t="str">
        <f>IFERROR(__xludf.DUMMYFUNCTION("IF(OR(COUNTA(C134:L134) = 0, COUNTA(C137:L137) = 0), """", IFERROR(TEXTJOIN("", "", TRUE, FILTER(C131:L131, (C137:L137 = ""W"") * (C134:L134 = MAX(FILTER(C134:L134, C137:L137 = ""W""))))), """"))"),"")</f>
        <v/>
      </c>
      <c r="P137" s="12" t="str">
        <f>IFERROR(__xludf.DUMMYFUNCTION("IF(COUNTA(C142:L142) = 0, """", IFERROR(TEXTJOIN("", "", TRUE, FILTER(C131:L131, C142:L142 = MAX(C142:L142))), """"))"),"")</f>
        <v/>
      </c>
      <c r="Q137" s="4"/>
    </row>
    <row r="138">
      <c r="A138" s="1" t="s">
        <v>81</v>
      </c>
      <c r="B138" s="2"/>
      <c r="C138" s="4" t="str">
        <f t="shared" ref="C138:L138" si="41">IF(OR(C134="",C137=""),"",C125+COUNTIF(C137,"W"))</f>
        <v/>
      </c>
      <c r="D138" s="4" t="str">
        <f t="shared" si="41"/>
        <v/>
      </c>
      <c r="E138" s="4" t="str">
        <f t="shared" si="41"/>
        <v/>
      </c>
      <c r="F138" s="4" t="str">
        <f t="shared" si="41"/>
        <v/>
      </c>
      <c r="G138" s="4" t="str">
        <f t="shared" si="41"/>
        <v/>
      </c>
      <c r="H138" s="4" t="str">
        <f t="shared" si="41"/>
        <v/>
      </c>
      <c r="I138" s="4" t="str">
        <f t="shared" si="41"/>
        <v/>
      </c>
      <c r="J138" s="4" t="str">
        <f t="shared" si="41"/>
        <v/>
      </c>
      <c r="K138" s="4" t="str">
        <f t="shared" si="41"/>
        <v/>
      </c>
      <c r="L138" s="4" t="str">
        <f t="shared" si="41"/>
        <v/>
      </c>
      <c r="M138" s="2"/>
      <c r="N138" s="3" t="s">
        <v>82</v>
      </c>
      <c r="O138" s="4" t="str">
        <f>IFERROR(__xludf.DUMMYFUNCTION("IF(OR(COUNTA(C134:L134) = 0, COUNTA(C137:L137) = 0), """", IFERROR(TEXTJOIN("", "", TRUE, FILTER(C131:L131, (C137:L137 = ""L"") * (C134:L134 = MIN(FILTER(C134:L134, C137:L137 = ""L""))))), """"))"),"")</f>
        <v/>
      </c>
      <c r="P138" s="12" t="str">
        <f>IFERROR(__xludf.DUMMYFUNCTION("IF(COUNTA(C142:L142) = 0, """", IFERROR(TEXTJOIN("", "", TRUE, FILTER(C131:L131, C142:L142 = MIN(C142:L142))), """"))"),"")</f>
        <v/>
      </c>
      <c r="Q138" s="4"/>
    </row>
    <row r="139">
      <c r="A139" s="1" t="s">
        <v>83</v>
      </c>
      <c r="B139" s="2"/>
      <c r="C139" s="27" t="str">
        <f t="shared" ref="C139:L139" si="42">IF(OR(C134="",C137=""),"",C126+COUNTIF(C137,"L"))</f>
        <v/>
      </c>
      <c r="D139" s="27" t="str">
        <f t="shared" si="42"/>
        <v/>
      </c>
      <c r="E139" s="27" t="str">
        <f t="shared" si="42"/>
        <v/>
      </c>
      <c r="F139" s="27" t="str">
        <f t="shared" si="42"/>
        <v/>
      </c>
      <c r="G139" s="27" t="str">
        <f t="shared" si="42"/>
        <v/>
      </c>
      <c r="H139" s="27" t="str">
        <f t="shared" si="42"/>
        <v/>
      </c>
      <c r="I139" s="27" t="str">
        <f t="shared" si="42"/>
        <v/>
      </c>
      <c r="J139" s="27" t="str">
        <f t="shared" si="42"/>
        <v/>
      </c>
      <c r="K139" s="27" t="str">
        <f t="shared" si="42"/>
        <v/>
      </c>
      <c r="L139" s="27" t="str">
        <f t="shared" si="42"/>
        <v/>
      </c>
      <c r="M139" s="2"/>
      <c r="N139" s="3" t="s">
        <v>84</v>
      </c>
      <c r="O139" s="12" t="str">
        <f>IFERROR(__xludf.DUMMYFUNCTION("IF(COUNTA(C134:L134) = 0, """", IFERROR(TEXTJOIN("", "", TRUE, FILTER(C131:L131, C134:L134 = MAX(C134:L134))), """"))"),"")</f>
        <v/>
      </c>
      <c r="P139" s="4" t="str">
        <f>IFERROR(__xludf.DUMMYFUNCTION("IF(COUNTA(C134:L134) = 0, """", IFERROR(TEXTJOIN("", "", TRUE, FILTER(C131:L131, C141:L141 = MAX(C141:L141))), """"))"),"")</f>
        <v/>
      </c>
      <c r="Q139" s="4"/>
    </row>
    <row r="140">
      <c r="A140" s="3" t="s">
        <v>85</v>
      </c>
      <c r="B140" s="2"/>
      <c r="C140" s="24" t="str">
        <f t="shared" ref="C140:L140" si="43">IF(OR(C134="",C137=""),"",(C138/(C138+C139)))</f>
        <v/>
      </c>
      <c r="D140" s="24" t="str">
        <f t="shared" si="43"/>
        <v/>
      </c>
      <c r="E140" s="24" t="str">
        <f t="shared" si="43"/>
        <v/>
      </c>
      <c r="F140" s="24" t="str">
        <f t="shared" si="43"/>
        <v/>
      </c>
      <c r="G140" s="24" t="str">
        <f t="shared" si="43"/>
        <v/>
      </c>
      <c r="H140" s="24" t="str">
        <f t="shared" si="43"/>
        <v/>
      </c>
      <c r="I140" s="24" t="str">
        <f t="shared" si="43"/>
        <v/>
      </c>
      <c r="J140" s="24" t="str">
        <f t="shared" si="43"/>
        <v/>
      </c>
      <c r="K140" s="24" t="str">
        <f t="shared" si="43"/>
        <v/>
      </c>
      <c r="L140" s="24" t="str">
        <f t="shared" si="43"/>
        <v/>
      </c>
      <c r="M140" s="14"/>
      <c r="N140" s="3" t="s">
        <v>86</v>
      </c>
      <c r="O140" s="4" t="str">
        <f>IFERROR(__xludf.DUMMYFUNCTION("IF(COUNTA(C134:L134) = 0, """", IFERROR(TEXTJOIN("", "", TRUE, FILTER(C131:L131, C134:L134 = MIN(C134:L134))), """"))"),"")</f>
        <v/>
      </c>
      <c r="P140" s="4" t="str">
        <f>IFERROR(__xludf.DUMMYFUNCTION("IF(COUNTA(C134:L134) = 0, """", IFERROR(TEXTJOIN("", "", TRUE, FILTER(C131:L131, C141:L141 = MIN(C141:L141))), """"))"),"")</f>
        <v/>
      </c>
      <c r="Q140" s="4"/>
    </row>
    <row r="141">
      <c r="A141" s="3" t="s">
        <v>87</v>
      </c>
      <c r="B141" s="2"/>
      <c r="C141" s="25" t="str">
        <f t="shared" ref="C141:L141" si="44">IF(C134="","",IF(((IF(C134 &lt;0,((-100/C134)+1),((C134/100)+1))+(IF(C128&lt;0,((-100/C128)+1),((C128/100)+1)))*(C125+C126))/(C125+C126+1))&lt;2,(-100/(((IF(C134 &lt;0,((-100/C134)+1),((C134/100)+1))+(IF(C128&lt;0,((-100/C128)+1),((C128/100)+1)))*(C125+C126))/(C125+C126+1))-1)),(((IF(C134 &lt;0,((-100/C134)+1),((C134/100)+1))+(IF(C128&lt;0,((-100/C128)+1),((C128/100)+1)))*(C125+C126))/(C125+C126+1))-1)*100))</f>
        <v/>
      </c>
      <c r="D141" s="25" t="str">
        <f t="shared" si="44"/>
        <v/>
      </c>
      <c r="E141" s="25" t="str">
        <f t="shared" si="44"/>
        <v/>
      </c>
      <c r="F141" s="25" t="str">
        <f t="shared" si="44"/>
        <v/>
      </c>
      <c r="G141" s="25" t="str">
        <f t="shared" si="44"/>
        <v/>
      </c>
      <c r="H141" s="25" t="str">
        <f t="shared" si="44"/>
        <v/>
      </c>
      <c r="I141" s="25" t="str">
        <f t="shared" si="44"/>
        <v/>
      </c>
      <c r="J141" s="25" t="str">
        <f t="shared" si="44"/>
        <v/>
      </c>
      <c r="K141" s="25" t="str">
        <f t="shared" si="44"/>
        <v/>
      </c>
      <c r="L141" s="25" t="str">
        <f t="shared" si="44"/>
        <v/>
      </c>
      <c r="M141" s="14"/>
      <c r="N141" s="4"/>
      <c r="O141" s="12"/>
      <c r="P141" s="12"/>
      <c r="Q141" s="4"/>
    </row>
    <row r="142">
      <c r="A142" s="16" t="s">
        <v>88</v>
      </c>
      <c r="B142" s="2"/>
      <c r="C142" s="26" t="str">
        <f>IFERROR(__xludf.DUMMYFUNCTION("IF(OR(C134="""",C137=""""),"""",IF(REGEXMATCH(C137,""W""),IF(C134&lt;0,((-100/C134))*10+C129,((C134/100)*10+C129)),-10+C129))"),"")</f>
        <v/>
      </c>
      <c r="D142" s="26" t="str">
        <f>IFERROR(__xludf.DUMMYFUNCTION("IF(OR(D134="""",D137=""""),"""",IF(REGEXMATCH(D137,""W""),IF(D134&lt;0,((-100/D134))*10+D129,((D134/100)*10+D129)),-10+D129))"),"")</f>
        <v/>
      </c>
      <c r="E142" s="26" t="str">
        <f>IFERROR(__xludf.DUMMYFUNCTION("IF(OR(E134="""",E137=""""),"""",IF(REGEXMATCH(E137,""W""),IF(E134&lt;0,((-100/E134))*10+E129,((E134/100)*10+E129)),-10+E129))"),"")</f>
        <v/>
      </c>
      <c r="F142" s="26" t="str">
        <f>IFERROR(__xludf.DUMMYFUNCTION("IF(OR(F134="""",F137=""""),"""",IF(REGEXMATCH(F137,""W""),IF(F134&lt;0,((-100/F134))*10+F129,((F134/100)*10+F129)),-10+F129))"),"")</f>
        <v/>
      </c>
      <c r="G142" s="26" t="str">
        <f>IFERROR(__xludf.DUMMYFUNCTION("IF(OR(G134="""",G137=""""),"""",IF(REGEXMATCH(G137,""W""),IF(G134&lt;0,((-100/G134))*10+G129,((G134/100)*10+G129)),-10+G129))"),"")</f>
        <v/>
      </c>
      <c r="H142" s="26" t="str">
        <f>IFERROR(__xludf.DUMMYFUNCTION("IF(OR(H134="""",H137=""""),"""",IF(REGEXMATCH(H137,""W""),IF(H134&lt;0,((-100/H134))*10+H129,((H134/100)*10+H129)),-10+H129))"),"")</f>
        <v/>
      </c>
      <c r="I142" s="26" t="str">
        <f>IFERROR(__xludf.DUMMYFUNCTION("IF(OR(I134="""",I137=""""),"""",IF(REGEXMATCH(I137,""W""),IF(I134&lt;0,((-100/I134))*10+I129,((I134/100)*10+I129)),-10+I129))"),"")</f>
        <v/>
      </c>
      <c r="J142" s="26" t="str">
        <f>IFERROR(__xludf.DUMMYFUNCTION("IF(OR(J134="""",J137=""""),"""",IF(REGEXMATCH(J137,""W""),IF(J134&lt;0,((-100/J134))*10+J129,((J134/100)*10+J129)),-10+J129))"),"")</f>
        <v/>
      </c>
      <c r="K142" s="26" t="str">
        <f>IFERROR(__xludf.DUMMYFUNCTION("IF(OR(K134="""",K137=""""),"""",IF(REGEXMATCH(K137,""W""),IF(K134&lt;0,((-100/K134))*10+K129,((K134/100)*10+K129)),-10+K129))"),"")</f>
        <v/>
      </c>
      <c r="L142" s="26" t="str">
        <f>IFERROR(__xludf.DUMMYFUNCTION("IF(OR(L134="""",L137=""""),"""",IF(REGEXMATCH(L137,""W""),IF(L134&lt;0,((-100/L134))*10+L129,((L134/100)*10+L129)),-10+L129))"),"")</f>
        <v/>
      </c>
      <c r="M142" s="14"/>
      <c r="N142" s="16" t="s">
        <v>89</v>
      </c>
      <c r="O142" s="10" t="str">
        <f>IFERROR(__xludf.DUMMYFUNCTION("IF(AND(C142="""",AND(D142="""",AND(E142="""",AND(F142="""",AND(G142="""",AND(H142="""",AND(I142="""",AND(J142="""",AND(K142="""",L142=""""))))))))),"""",(IF(C137="""",0,IF(REGEXMATCH(C137,""W""),IF(C134&lt;0,((-100/C134))*10,((C134/100)*10)),-10))+IF(D137="""&amp;""",0,IF(REGEXMATCH(D137,""W""),IF(D134&lt;0,((-100/D134))*10,((D134/100)*10)),-10))+IF(E137="""",0,IF(REGEXMATCH(E137,""W""),IF(E134&lt;0,((-100/E134))*10,((E134/100)*10)),-10))+IF(F137="""",0,IF(REGEXMATCH(F137,""W""),IF(F134&lt;0,((-100/F134))*10,((F134/100)*10)"&amp;"),-10))+IF(G137="""",0,IF(REGEXMATCH(G137,""W""),IF(G134&lt;0,((-100/G134))*10,((G134/100)*10)),-10))+IF(H137="""",0,IF(REGEXMATCH(H137,""W""),IF(H134&lt;0,((-100/H134))*10,((H134/100)*10)),-10))+IF(I137="""",0,IF(REGEXMATCH(I137,""W""),IF(I134&lt;0,((-100/I134))*"&amp;"10,((I134/100)*10)),-10))+IF(J137="""",0,IF(REGEXMATCH(J137,""W""),IF(J134&lt;0,((-100/J134))*10,((J134/100)*10)),-10))+IF(K137="""",0,IF(REGEXMATCH(K137,""W""),IF(K134&lt;0,((-100/K134))*10,((K134/100)*10)),-10))+IF(L137="""",0,IF(REGEXMATCH(L137,""W""),IF(L13"&amp;"4&lt;0,((-100/L134))*10,((L134/100)*10)),-10))))"),"")</f>
        <v/>
      </c>
      <c r="P142" s="10" t="str">
        <f>IFERROR(__xludf.DUMMYFUNCTION("IF(AND(C142="""",AND(D142="""",AND(E142="""",AND(F142="""",AND(G142="""",AND(H142="""",AND(I142="""",AND(J142="""",AND(K142="""",L142=""""))))))))),"""",(P129+IF(C137="""",0,IF(REGEXMATCH(C137,""W""),IF(C134&lt;0,((-100/C134))*10,((C134/100)*10)),-10))+IF(D1"&amp;"37="""",0,IF(REGEXMATCH(D137,""W""),IF(D134&lt;0,((-100/D134))*10,((D134/100)*10)),-10))+IF(E137="""",0,IF(REGEXMATCH(E137,""W""),IF(E134&lt;0,((-100/E134))*10,((E134/100)*10)),-10))+IF(F137="""",0,IF(REGEXMATCH(F137,""W""),IF(F134&lt;0,((-100/F134))*10,((F134/100"&amp;")*10)),-10))+IF(G137="""",0,IF(REGEXMATCH(G137,""W""),IF(G134&lt;0,((-100/G134))*10,((G134/100)*10)),-10))+IF(H137="""",0,IF(REGEXMATCH(H137,""W""),IF(H134&lt;0,((-100/H134))*10,((H134/100)*10)),-10))+IF(I137="""",0,IF(REGEXMATCH(I137,""W""),IF(I134&lt;0,((-100/I1"&amp;"34))*10,((I134/100)*10)),-10))+IF(J137="""",0,IF(REGEXMATCH(J137,""W""),IF(J134&lt;0,((-100/J134))*10,((J134/100)*10)),-10))+IF(K137="""",0,IF(REGEXMATCH(K137,""W""),IF(K134&lt;0,((-100/K134))*10,((K134/100)*10)),-10))+IF(L137="""",0,IF(REGEXMATCH(L137,""W""),I"&amp;"F(L134&lt;0,((-100/L134))*10,((L134/100)*10)),-10))))"),"")</f>
        <v/>
      </c>
      <c r="Q142" s="4"/>
    </row>
    <row r="143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</row>
    <row r="144">
      <c r="A144" s="1" t="s">
        <v>582</v>
      </c>
      <c r="B144" s="2"/>
      <c r="C144" s="3" t="s">
        <v>1</v>
      </c>
      <c r="D144" s="3" t="s">
        <v>2</v>
      </c>
      <c r="E144" s="3" t="s">
        <v>3</v>
      </c>
      <c r="F144" s="3" t="s">
        <v>4</v>
      </c>
      <c r="G144" s="3" t="s">
        <v>5</v>
      </c>
      <c r="H144" s="3" t="s">
        <v>6</v>
      </c>
      <c r="I144" s="3" t="s">
        <v>7</v>
      </c>
      <c r="J144" s="3" t="s">
        <v>8</v>
      </c>
      <c r="K144" s="3" t="s">
        <v>9</v>
      </c>
      <c r="L144" s="3" t="s">
        <v>10</v>
      </c>
      <c r="M144" s="2"/>
      <c r="N144" s="4"/>
      <c r="O144" s="3" t="s">
        <v>11</v>
      </c>
      <c r="P144" s="4"/>
      <c r="Q144" s="4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</row>
    <row r="146">
      <c r="A146" s="3" t="s">
        <v>12</v>
      </c>
      <c r="B146" s="2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2"/>
      <c r="N146" s="3" t="s">
        <v>13</v>
      </c>
      <c r="O146" s="7" t="str">
        <f>IF(AND(C147="",AND(D147="",AND(E147="",AND(F147="",AND(G147="",AND(H147="",AND(I147="",AND(J147="",AND(K147="",L147=""))))))))),"",IF(((IF(C147="",1,IF(C147&gt;0,(C147/100)+1,(100/((-1)*C147))+1)))*(IF(D147="",1,IF(D147&gt;0,(D147/100)+1,(100/((-1)*D147))+1)))*(IF(E147="",1,IF(E147&gt;0,(E147/100)+1,(100/((-1)*E147))+1)))*(IF(F147="",1,IF(F147&gt;0,(F147/100)+1,(100/((-1)*F147))+1)))*(IF(G147="",1,IF(G147&gt;0,(G147/100)+1,(100/((-1)*G147))+1)))*(IF(H147="",1,IF(H147&gt;0,(H147/100)+1,(100/((-1)*H147))+1)))*(IF(I147="",1,IF(I147&gt;0,(I147/100)+1,(100/((-1)*I147))+1)))*(IF(J147="",1,IF(J147&gt;0,(J147/100)+1,(100/((-1)*J147))+1)))*(IF(K147="",1,IF(K147&gt;0,(K147/100)+1,(100/((-1)*K147))+1)))*(IF(L147="",1,IF(L147&gt;0,(L147/100)+1,(100/((-1)*L147))+1))))&lt;2,((-100)/(((IF(C147="",1,IF(C147&gt;0,(C147/100)+1,(100/((-1)*C147))+1)))*(IF(D147="",1,IF(D147&gt;0,(D147/100)+1,(100/((-1)*D147))+1)))*(IF(E147="",1,IF(E147&gt;0,(E147/100)+1,(100/((-1)*E147))+1)))*(IF(F147="",1,IF(F147&gt;0,(F147/100)+1,(100/((-1)*F147))+1)))*(IF(G147="",1,IF(G147&gt;0,(G147/100)+1,(100/((-1)*G147))+1)))*(IF(H147="",1,IF(H147&gt;0,(H147/100)+1,(100/((-1)*H147))+1)))*(IF(I147="",1,IF(I147&gt;0,(I147/100)+1,(100/((-1)*I147))+1)))*(IF(J147="",1,IF(J147&gt;0,(J147/100)+1,(100/((-1)*J147))+1)))*(IF(K147="",1,IF(K147&gt;0,(K147/100)+1,(100/((-1)*K147))+1)))*(IF(L147="",1,IF(L147&gt;0,(L147/100)+1,(100/((-1)*L147))+1))))-1)),((((IF(C147="",1,IF(C147&gt;0,(C147/100)+1,(100/((-1)*C147))+1)))*(IF(D147="",1,IF(D147&gt;0,(D147/100)+1,(100/((-1)*D147))+1)))*(IF(E147="",1,IF(E147&gt;0,(E147/100)+1,(100/((-1)*E147))+1)))*(IF(F147="",1,IF(F147&gt;0,(F147/100)+1,(100/((-1)*F147))+1)))*(IF(G147="",1,IF(G147&gt;0,(G147/100)+1,(100/((-1)*G147))+1)))*(IF(H147="",1,IF(H147&gt;0,(H147/100)+1,(100/((-1)*H147))+1)))*(IF(I147="",1,IF(I147&gt;0,(I147/100)+1,(100/((-1)*I147))+1)))*(IF(J147="",1,IF(J147&gt;0,(J147/100)+1,(100/((-1)*J147))+1)))*(IF(K147="",1,IF(K147&gt;0,(K147/100)+1,(100/((-1)*K147))+1)))*(IF(L147="",1,IF(L147&gt;0,(L147/100)+1,(100/((-1)*L147))+1))))-1)*(100))))</f>
        <v/>
      </c>
      <c r="P146" s="4"/>
      <c r="Q146" s="8" t="s">
        <v>35</v>
      </c>
    </row>
    <row r="147">
      <c r="A147" s="3" t="s">
        <v>13</v>
      </c>
      <c r="B147" s="2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2">
        <v>11.0</v>
      </c>
      <c r="N147" s="3" t="s">
        <v>36</v>
      </c>
      <c r="O147" s="10" t="str">
        <f>IF(AND(C147="",AND(D147="",AND(E147="",AND(F147="",AND(G147="",AND(H147="",AND(I147="",AND(J147="",AND(K147="",L147=""))))))))),"",10+IF((IF(((IF(C147="",1,IF(C147&gt;0,(C147/100)+1,(100/((-1)*C147))+1)))*(IF(D147="",1,IF(D147&gt;0,(D147/100)+1,(100/((-1)*D147))+1)))*(IF(E147="",1,IF(E147&gt;0,(E147/100)+1,(100/((-1)*E147))+1)))*(IF(F147="",1,IF(F147&gt;0,(F147/100)+1,(100/((-1)*F147))+1)))*(IF(G147="",1,IF(G147&gt;0,(G147/100)+1,(100/((-1)*G147))+1)))*(IF(H147="",1,IF(H147&gt;0,(H147/100)+1,(100/((-1)*H147))+1)))*(IF(I147="",1,IF(I147&gt;0,(I147/100)+1,(100/((-1)*I147))+1)))*(IF(J147="",1,IF(J147&gt;0,(J147/100)+1,(100/((-1)*J147))+1)))*(IF(K147="",1,IF(K147&gt;0,(K147/100)+1,(100/((-1)*K147))+1)))*(IF(L147="",1,IF(L147&gt;0,(L147/100)+1,(100/((-1)*L147))+1))))&lt;2,((-100)/(((IF(C147="",1,IF(C147&gt;0,(C147/100)+1,(100/((-1)*C147))+1)))*(IF(D147="",1,IF(D147&gt;0,(D147/100)+1,(100/((-1)*D147))+1)))*(IF(E147="",1,IF(E147&gt;0,(E147/100)+1,(100/((-1)*E147))+1)))*(IF(F147="",1,IF(F147&gt;0,(F147/100)+1,(100/((-1)*F147))+1)))*(IF(G147="",1,IF(G147&gt;0,(G147/100)+1,(100/((-1)*G147))+1)))*(IF(H147="",1,IF(H147&gt;0,(H147/100)+1,(100/((-1)*H147))+1)))*(IF(I147="",1,IF(I147&gt;0,(I147/100)+1,(100/((-1)*I147))+1)))*(IF(J147="",1,IF(J147&gt;0,(J147/100)+1,(100/((-1)*J147))+1)))*(IF(K147="",1,IF(K147&gt;0,(K147/100)+1,(100/((-1)*K147))+1)))*(IF(L147="",1,IF(L147&gt;0,(L147/100)+1,(100/((-1)*L147))+1))))-1)),((((IF(C147="",1,IF(C147&gt;0,(C147/100)+1,(100/((-1)*C147))+1)))*(IF(D147="",1,IF(D147&gt;0,(D147/100)+1,(100/((-1)*D147))+1)))*(IF(E147="",1,IF(E147&gt;0,(E147/100)+1,(100/((-1)*E147))+1)))*(IF(F147="",1,IF(F147&gt;0,(F147/100)+1,(100/((-1)*F147))+1)))*(IF(G147="",1,IF(G147&gt;0,(G147/100)+1,(100/((-1)*G147))+1)))*(IF(H147="",1,IF(H147&gt;0,(H147/100)+1,(100/((-1)*H147))+1)))*(IF(I147="",1,IF(I147&gt;0,(I147/100)+1,(100/((-1)*I147))+1)))*(IF(J147="",1,IF(J147&gt;0,(J147/100)+1,(100/((-1)*J147))+1)))*(IF(K147="",1,IF(K147&gt;0,(K147/100)+1,(100/((-1)*K147))+1)))*(IF(L147="",1,IF(L147&gt;0,(L147/100)+1,(100/((-1)*L147))+1))))-1)*(100))))&lt;0,(((-100)/((IF(((IF(C147="",1,IF(C147&gt;0,(C147/100)+1,(100/((-1)*C147))+1)))*(IF(D147="",1,IF(D147&gt;0,(D147/100)+1,(100/((-1)*D147))+1)))*(IF(E147="",1,IF(E147&gt;0,(E147/100)+1,(100/((-1)*E147))+1)))*(IF(F147="",1,IF(F147&gt;0,(F147/100)+1,(100/((-1)*F147))+1)))*(IF(G147="",1,IF(G147&gt;0,(G147/100)+1,(100/((-1)*G147))+1)))*(IF(H147="",1,IF(H147&gt;0,(H147/100)+1,(100/((-1)*H147))+1)))*(IF(I147="",1,IF(I147&gt;0,(I147/100)+1,(100/((-1)*I147))+1)))*(IF(J147="",1,IF(J147&gt;0,(J147/100)+1,(100/((-1)*J147))+1)))*(IF(K147="",1,IF(K147&gt;0,(K147/100)+1,(100/((-1)*K147))+1)))*(IF(L147="",1,IF(L147&gt;0,(L147/100)+1,(100/((-1)*L147))+1))))&lt;2,((-100)/(((IF(C147="",1,IF(C147&gt;0,(C147/100)+1,(100/((-1)*C147))+1)))*(IF(D147="",1,IF(D147&gt;0,(D147/100)+1,(100/((-1)*D147))+1)))*(IF(E147="",1,IF(E147&gt;0,(E147/100)+1,(100/((-1)*E147))+1)))*(IF(F147="",1,IF(F147&gt;0,(F147/100)+1,(100/((-1)*F147))+1)))*(IF(G147="",1,IF(G147&gt;0,(G147/100)+1,(100/((-1)*G147))+1)))*(IF(H147="",1,IF(H147&gt;0,(H147/100)+1,(100/((-1)*H147))+1)))*(IF(I147="",1,IF(I147&gt;0,(I147/100)+1,(100/((-1)*I147))+1)))*(IF(J147="",1,IF(J147&gt;0,(J147/100)+1,(100/((-1)*J147))+1)))*(IF(K147="",1,IF(K147&gt;0,(K147/100)+1,(100/((-1)*K147))+1)))*(IF(L147="",1,IF(L147&gt;0,(L147/100)+1,(100/((-1)*L147))+1))))-1)),((((IF(C147="",1,IF(C147&gt;0,(C147/100)+1,(100/((-1)*C147))+1)))*(IF(D147="",1,IF(D147&gt;0,(D147/100)+1,(100/((-1)*D147))+1)))*(IF(E147="",1,IF(E147&gt;0,(E147/100)+1,(100/((-1)*E147))+1)))*(IF(F147="",1,IF(F147&gt;0,(F147/100)+1,(100/((-1)*F147))+1)))*(IF(G147="",1,IF(G147&gt;0,(G147/100)+1,(100/((-1)*G147))+1)))*(IF(H147="",1,IF(H147&gt;0,(H147/100)+1,(100/((-1)*H147))+1)))*(IF(I147="",1,IF(I147&gt;0,(I147/100)+1,(100/((-1)*I147))+1)))*(IF(J147="",1,IF(J147&gt;0,(J147/100)+1,(100/((-1)*J147))+1)))*(IF(K147="",1,IF(K147&gt;0,(K147/100)+1,(100/((-1)*K147))+1)))*(IF(L147="",1,IF(L147&gt;0,(L147/100)+1,(100/((-1)*L147))+1))))-1)*(100))))))*10),(((IF(((IF(C147="",1,IF(C147&gt;0,(C147/100)+1,(100/((-1)*C147))+1)))*(IF(D147="",1,IF(D147&gt;0,(D147/100)+1,(100/((-1)*D147))+1)))*(IF(E147="",1,IF(E147&gt;0,(E147/100)+1,(100/((-1)*E147))+1)))*(IF(F147="",1,IF(F147&gt;0,(F147/100)+1,(100/((-1)*F147))+1)))*(IF(G147="",1,IF(G147&gt;0,(G147/100)+1,(100/((-1)*G147))+1)))*(IF(H147="",1,IF(H147&gt;0,(H147/100)+1,(100/((-1)*H147))+1)))*(IF(I147="",1,IF(I147&gt;0,(I147/100)+1,(100/((-1)*I147))+1)))*(IF(J147="",1,IF(J147&gt;0,(J147/100)+1,(100/((-1)*J147))+1)))*(IF(K147="",1,IF(K147&gt;0,(K147/100)+1,(100/((-1)*K147))+1)))*(IF(L147="",1,IF(L147&gt;0,(L147/100)+1,(100/((-1)*L147))+1))))&lt;2,((-100)/(((IF(C147="",1,IF(C147&gt;0,(C147/100)+1,(100/((-1)*C147))+1)))*(IF(D147="",1,IF(D147&gt;0,(D147/100)+1,(100/((-1)*D147))+1)))*(IF(E147="",1,IF(E147&gt;0,(E147/100)+1,(100/((-1)*E147))+1)))*(IF(F147="",1,IF(F147&gt;0,(F147/100)+1,(100/((-1)*F147))+1)))*(IF(G147="",1,IF(G147&gt;0,(G147/100)+1,(100/((-1)*G147))+1)))*(IF(H147="",1,IF(H147&gt;0,(H147/100)+1,(100/((-1)*H147))+1)))*(IF(I147="",1,IF(I147&gt;0,(I147/100)+1,(100/((-1)*I147))+1)))*(IF(J147="",1,IF(J147&gt;0,(J147/100)+1,(100/((-1)*J147))+1)))*(IF(K147="",1,IF(K147&gt;0,(K147/100)+1,(100/((-1)*K147))+1)))*(IF(L147="",1,IF(L147&gt;0,(L147/100)+1,(100/((-1)*L147))+1))))-1)),((((IF(C147="",1,IF(C147&gt;0,(C147/100)+1,(100/((-1)*C147))+1)))*(IF(D147="",1,IF(D147&gt;0,(D147/100)+1,(100/((-1)*D147))+1)))*(IF(E147="",1,IF(E147&gt;0,(E147/100)+1,(100/((-1)*E147))+1)))*(IF(F147="",1,IF(F147&gt;0,(F147/100)+1,(100/((-1)*F147))+1)))*(IF(G147="",1,IF(G147&gt;0,(G147/100)+1,(100/((-1)*G147))+1)))*(IF(H147="",1,IF(H147&gt;0,(H147/100)+1,(100/((-1)*H147))+1)))*(IF(I147="",1,IF(I147&gt;0,(I147/100)+1,(100/((-1)*I147))+1)))*(IF(J147="",1,IF(J147&gt;0,(J147/100)+1,(100/((-1)*J147))+1)))*(IF(K147="",1,IF(K147&gt;0,(K147/100)+1,(100/((-1)*K147))+1)))*(IF(L147="",1,IF(L147&gt;0,(L147/100)+1,(100/((-1)*L147))+1))))-1)*(100))))/100)*10)))</f>
        <v/>
      </c>
      <c r="P147" s="4"/>
      <c r="Q147" s="4"/>
    </row>
    <row r="148">
      <c r="A148" s="3" t="s">
        <v>37</v>
      </c>
      <c r="B148" s="2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2"/>
      <c r="N148" s="4"/>
      <c r="O148" s="4"/>
      <c r="P148" s="4"/>
      <c r="Q148" s="4"/>
    </row>
    <row r="149">
      <c r="A149" s="3" t="s">
        <v>48</v>
      </c>
      <c r="B149" s="2"/>
      <c r="C149" s="5"/>
      <c r="D149" s="11"/>
      <c r="E149" s="5"/>
      <c r="F149" s="5"/>
      <c r="G149" s="5"/>
      <c r="H149" s="5"/>
      <c r="I149" s="5"/>
      <c r="J149" s="5"/>
      <c r="K149" s="5"/>
      <c r="L149" s="5"/>
      <c r="M149" s="2"/>
      <c r="N149" s="4"/>
      <c r="O149" s="3" t="s">
        <v>56</v>
      </c>
      <c r="P149" s="3" t="s">
        <v>57</v>
      </c>
      <c r="Q149" s="4"/>
    </row>
    <row r="150">
      <c r="A150" s="3" t="s">
        <v>59</v>
      </c>
      <c r="B150" s="2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2"/>
      <c r="N150" s="3" t="s">
        <v>65</v>
      </c>
      <c r="O150" s="12" t="str">
        <f>IFERROR(__xludf.DUMMYFUNCTION("IF(OR(COUNTA(C147:L147) = 0, COUNTA(C150:L150) = 0), """", IFERROR(TEXTJOIN("", "", TRUE, FILTER(C144:L144, (C150:L150 = ""W"") * (C147:L147 = MAX(FILTER(C147:L147, C150:L150 = ""W""))))), """"))"),"")</f>
        <v/>
      </c>
      <c r="P150" s="12" t="str">
        <f>IFERROR(__xludf.DUMMYFUNCTION("IF(COUNTA(C155:L155) = 0, """", IFERROR(TEXTJOIN("", "", TRUE, FILTER(C144:L144, C155:L155 = MAX(C155:L155))), """"))"),"")</f>
        <v/>
      </c>
      <c r="Q150" s="4"/>
    </row>
    <row r="151">
      <c r="A151" s="1" t="s">
        <v>81</v>
      </c>
      <c r="B151" s="2"/>
      <c r="C151" s="4" t="str">
        <f t="shared" ref="C151:L151" si="45">IF(OR(C147="",C150=""),"",C138+COUNTIF(C150,"W"))</f>
        <v/>
      </c>
      <c r="D151" s="4" t="str">
        <f t="shared" si="45"/>
        <v/>
      </c>
      <c r="E151" s="4" t="str">
        <f t="shared" si="45"/>
        <v/>
      </c>
      <c r="F151" s="4" t="str">
        <f t="shared" si="45"/>
        <v/>
      </c>
      <c r="G151" s="4" t="str">
        <f t="shared" si="45"/>
        <v/>
      </c>
      <c r="H151" s="4" t="str">
        <f t="shared" si="45"/>
        <v/>
      </c>
      <c r="I151" s="4" t="str">
        <f t="shared" si="45"/>
        <v/>
      </c>
      <c r="J151" s="4" t="str">
        <f t="shared" si="45"/>
        <v/>
      </c>
      <c r="K151" s="4" t="str">
        <f t="shared" si="45"/>
        <v/>
      </c>
      <c r="L151" s="4" t="str">
        <f t="shared" si="45"/>
        <v/>
      </c>
      <c r="M151" s="2"/>
      <c r="N151" s="3" t="s">
        <v>82</v>
      </c>
      <c r="O151" s="4" t="str">
        <f>IFERROR(__xludf.DUMMYFUNCTION("IF(OR(COUNTA(C147:L147) = 0, COUNTA(C150:L150) = 0), """", IFERROR(TEXTJOIN("", "", TRUE, FILTER(C144:L144, (C150:L150 = ""L"") * (C147:L147 = MIN(FILTER(C147:L147, C150:L150 = ""L""))))), """"))"),"")</f>
        <v/>
      </c>
      <c r="P151" s="12" t="str">
        <f>IFERROR(__xludf.DUMMYFUNCTION("IF(COUNTA(C155:L155) = 0, """", IFERROR(TEXTJOIN("", "", TRUE, FILTER(C144:L144, C155:L155 = MIN(C155:L155))), """"))"),"")</f>
        <v/>
      </c>
      <c r="Q151" s="4"/>
    </row>
    <row r="152">
      <c r="A152" s="1" t="s">
        <v>83</v>
      </c>
      <c r="B152" s="2"/>
      <c r="C152" s="27" t="str">
        <f t="shared" ref="C152:L152" si="46">IF(OR(C147="",C150=""),"",C139+COUNTIF(C150,"L"))</f>
        <v/>
      </c>
      <c r="D152" s="27" t="str">
        <f t="shared" si="46"/>
        <v/>
      </c>
      <c r="E152" s="27" t="str">
        <f t="shared" si="46"/>
        <v/>
      </c>
      <c r="F152" s="27" t="str">
        <f t="shared" si="46"/>
        <v/>
      </c>
      <c r="G152" s="27" t="str">
        <f t="shared" si="46"/>
        <v/>
      </c>
      <c r="H152" s="27" t="str">
        <f t="shared" si="46"/>
        <v/>
      </c>
      <c r="I152" s="27" t="str">
        <f t="shared" si="46"/>
        <v/>
      </c>
      <c r="J152" s="27" t="str">
        <f t="shared" si="46"/>
        <v/>
      </c>
      <c r="K152" s="27" t="str">
        <f t="shared" si="46"/>
        <v/>
      </c>
      <c r="L152" s="27" t="str">
        <f t="shared" si="46"/>
        <v/>
      </c>
      <c r="M152" s="2"/>
      <c r="N152" s="3" t="s">
        <v>84</v>
      </c>
      <c r="O152" s="12" t="str">
        <f>IFERROR(__xludf.DUMMYFUNCTION("IF(COUNTA(C147:L147) = 0, """", IFERROR(TEXTJOIN("", "", TRUE, FILTER(C144:L144, C147:L147 = MAX(C147:L147))), """"))"),"")</f>
        <v/>
      </c>
      <c r="P152" s="4" t="str">
        <f>IFERROR(__xludf.DUMMYFUNCTION("IF(COUNTA(C147:L147) = 0, """", IFERROR(TEXTJOIN("", "", TRUE, FILTER(C144:L144, C154:L154 = MAX(C154:L154))), """"))"),"")</f>
        <v/>
      </c>
      <c r="Q152" s="4"/>
    </row>
    <row r="153">
      <c r="A153" s="3" t="s">
        <v>85</v>
      </c>
      <c r="B153" s="2"/>
      <c r="C153" s="24" t="str">
        <f t="shared" ref="C153:L153" si="47">IF(OR(C147="",C150=""),"",(C151/(C151+C152)))</f>
        <v/>
      </c>
      <c r="D153" s="24" t="str">
        <f t="shared" si="47"/>
        <v/>
      </c>
      <c r="E153" s="24" t="str">
        <f t="shared" si="47"/>
        <v/>
      </c>
      <c r="F153" s="24" t="str">
        <f t="shared" si="47"/>
        <v/>
      </c>
      <c r="G153" s="24" t="str">
        <f t="shared" si="47"/>
        <v/>
      </c>
      <c r="H153" s="24" t="str">
        <f t="shared" si="47"/>
        <v/>
      </c>
      <c r="I153" s="24" t="str">
        <f t="shared" si="47"/>
        <v/>
      </c>
      <c r="J153" s="24" t="str">
        <f t="shared" si="47"/>
        <v/>
      </c>
      <c r="K153" s="24" t="str">
        <f t="shared" si="47"/>
        <v/>
      </c>
      <c r="L153" s="24" t="str">
        <f t="shared" si="47"/>
        <v/>
      </c>
      <c r="M153" s="14"/>
      <c r="N153" s="3" t="s">
        <v>86</v>
      </c>
      <c r="O153" s="4" t="str">
        <f>IFERROR(__xludf.DUMMYFUNCTION("IF(COUNTA(C147:L147) = 0, """", IFERROR(TEXTJOIN("", "", TRUE, FILTER(C144:L144, C147:L147 = MIN(C147:L147))), """"))"),"")</f>
        <v/>
      </c>
      <c r="P153" s="4" t="str">
        <f>IFERROR(__xludf.DUMMYFUNCTION("IF(COUNTA(C147:L147) = 0, """", IFERROR(TEXTJOIN("", "", TRUE, FILTER(C144:L144, C154:L154 = MIN(C154:L154))), """"))"),"")</f>
        <v/>
      </c>
      <c r="Q153" s="4"/>
    </row>
    <row r="154">
      <c r="A154" s="3" t="s">
        <v>87</v>
      </c>
      <c r="B154" s="2"/>
      <c r="C154" s="25" t="str">
        <f t="shared" ref="C154:L154" si="48">IF(C147="","",IF(((IF(C147 &lt;0,((-100/C147)+1),((C147/100)+1))+(IF(C141&lt;0,((-100/C141)+1),((C141/100)+1)))*(C138+C139))/(C138+C139+1))&lt;2,(-100/(((IF(C147 &lt;0,((-100/C147)+1),((C147/100)+1))+(IF(C141&lt;0,((-100/C141)+1),((C141/100)+1)))*(C138+C139))/(C138+C139+1))-1)),(((IF(C147 &lt;0,((-100/C147)+1),((C147/100)+1))+(IF(C141&lt;0,((-100/C141)+1),((C141/100)+1)))*(C138+C139))/(C138+C139+1))-1)*100))</f>
        <v/>
      </c>
      <c r="D154" s="25" t="str">
        <f t="shared" si="48"/>
        <v/>
      </c>
      <c r="E154" s="25" t="str">
        <f t="shared" si="48"/>
        <v/>
      </c>
      <c r="F154" s="25" t="str">
        <f t="shared" si="48"/>
        <v/>
      </c>
      <c r="G154" s="25" t="str">
        <f t="shared" si="48"/>
        <v/>
      </c>
      <c r="H154" s="25" t="str">
        <f t="shared" si="48"/>
        <v/>
      </c>
      <c r="I154" s="25" t="str">
        <f t="shared" si="48"/>
        <v/>
      </c>
      <c r="J154" s="25" t="str">
        <f t="shared" si="48"/>
        <v/>
      </c>
      <c r="K154" s="25" t="str">
        <f t="shared" si="48"/>
        <v/>
      </c>
      <c r="L154" s="25" t="str">
        <f t="shared" si="48"/>
        <v/>
      </c>
      <c r="M154" s="14"/>
      <c r="N154" s="4"/>
      <c r="O154" s="12"/>
      <c r="P154" s="12"/>
      <c r="Q154" s="4"/>
    </row>
    <row r="155">
      <c r="A155" s="16" t="s">
        <v>88</v>
      </c>
      <c r="B155" s="2"/>
      <c r="C155" s="26" t="str">
        <f>IFERROR(__xludf.DUMMYFUNCTION("IF(OR(C147="""",C150=""""),"""",IF(REGEXMATCH(C150,""W""),IF(C147&lt;0,((-100/C147))*10+C142,((C147/100)*10+C142)),-10+C142))"),"")</f>
        <v/>
      </c>
      <c r="D155" s="26" t="str">
        <f>IFERROR(__xludf.DUMMYFUNCTION("IF(OR(D147="""",D150=""""),"""",IF(REGEXMATCH(D150,""W""),IF(D147&lt;0,((-100/D147))*10+D142,((D147/100)*10+D142)),-10+D142))"),"")</f>
        <v/>
      </c>
      <c r="E155" s="26" t="str">
        <f>IFERROR(__xludf.DUMMYFUNCTION("IF(OR(E147="""",E150=""""),"""",IF(REGEXMATCH(E150,""W""),IF(E147&lt;0,((-100/E147))*10+E142,((E147/100)*10+E142)),-10+E142))"),"")</f>
        <v/>
      </c>
      <c r="F155" s="26" t="str">
        <f>IFERROR(__xludf.DUMMYFUNCTION("IF(OR(F147="""",F150=""""),"""",IF(REGEXMATCH(F150,""W""),IF(F147&lt;0,((-100/F147))*10+F142,((F147/100)*10+F142)),-10+F142))"),"")</f>
        <v/>
      </c>
      <c r="G155" s="26" t="str">
        <f>IFERROR(__xludf.DUMMYFUNCTION("IF(OR(G147="""",G150=""""),"""",IF(REGEXMATCH(G150,""W""),IF(G147&lt;0,((-100/G147))*10+G142,((G147/100)*10+G142)),-10+G142))"),"")</f>
        <v/>
      </c>
      <c r="H155" s="26" t="str">
        <f>IFERROR(__xludf.DUMMYFUNCTION("IF(OR(H147="""",H150=""""),"""",IF(REGEXMATCH(H150,""W""),IF(H147&lt;0,((-100/H147))*10+H142,((H147/100)*10+H142)),-10+H142))"),"")</f>
        <v/>
      </c>
      <c r="I155" s="26" t="str">
        <f>IFERROR(__xludf.DUMMYFUNCTION("IF(OR(I147="""",I150=""""),"""",IF(REGEXMATCH(I150,""W""),IF(I147&lt;0,((-100/I147))*10+I142,((I147/100)*10+I142)),-10+I142))"),"")</f>
        <v/>
      </c>
      <c r="J155" s="26" t="str">
        <f>IFERROR(__xludf.DUMMYFUNCTION("IF(OR(J147="""",J150=""""),"""",IF(REGEXMATCH(J150,""W""),IF(J147&lt;0,((-100/J147))*10+J142,((J147/100)*10+J142)),-10+J142))"),"")</f>
        <v/>
      </c>
      <c r="K155" s="26" t="str">
        <f>IFERROR(__xludf.DUMMYFUNCTION("IF(OR(K147="""",K150=""""),"""",IF(REGEXMATCH(K150,""W""),IF(K147&lt;0,((-100/K147))*10+K142,((K147/100)*10+K142)),-10+K142))"),"")</f>
        <v/>
      </c>
      <c r="L155" s="26" t="str">
        <f>IFERROR(__xludf.DUMMYFUNCTION("IF(OR(L147="""",L150=""""),"""",IF(REGEXMATCH(L150,""W""),IF(L147&lt;0,((-100/L147))*10+L142,((L147/100)*10+L142)),-10+L142))"),"")</f>
        <v/>
      </c>
      <c r="M155" s="14"/>
      <c r="N155" s="16" t="s">
        <v>89</v>
      </c>
      <c r="O155" s="10" t="str">
        <f>IFERROR(__xludf.DUMMYFUNCTION("IF(AND(C155="""",AND(D155="""",AND(E155="""",AND(F155="""",AND(G155="""",AND(H155="""",AND(I155="""",AND(J155="""",AND(K155="""",L155=""""))))))))),"""",(IF(C150="""",0,IF(REGEXMATCH(C150,""W""),IF(C147&lt;0,((-100/C147))*10,((C147/100)*10)),-10))+IF(D150="""&amp;""",0,IF(REGEXMATCH(D150,""W""),IF(D147&lt;0,((-100/D147))*10,((D147/100)*10)),-10))+IF(E150="""",0,IF(REGEXMATCH(E150,""W""),IF(E147&lt;0,((-100/E147))*10,((E147/100)*10)),-10))+IF(F150="""",0,IF(REGEXMATCH(F150,""W""),IF(F147&lt;0,((-100/F147))*10,((F147/100)*10)"&amp;"),-10))+IF(G150="""",0,IF(REGEXMATCH(G150,""W""),IF(G147&lt;0,((-100/G147))*10,((G147/100)*10)),-10))+IF(H150="""",0,IF(REGEXMATCH(H150,""W""),IF(H147&lt;0,((-100/H147))*10,((H147/100)*10)),-10))+IF(I150="""",0,IF(REGEXMATCH(I150,""W""),IF(I147&lt;0,((-100/I147))*"&amp;"10,((I147/100)*10)),-10))+IF(J150="""",0,IF(REGEXMATCH(J150,""W""),IF(J147&lt;0,((-100/J147))*10,((J147/100)*10)),-10))+IF(K150="""",0,IF(REGEXMATCH(K150,""W""),IF(K147&lt;0,((-100/K147))*10,((K147/100)*10)),-10))+IF(L150="""",0,IF(REGEXMATCH(L150,""W""),IF(L14"&amp;"7&lt;0,((-100/L147))*10,((L147/100)*10)),-10))))"),"")</f>
        <v/>
      </c>
      <c r="P155" s="10" t="str">
        <f>IFERROR(__xludf.DUMMYFUNCTION("IF(AND(C155="""",AND(D155="""",AND(E155="""",AND(F155="""",AND(G155="""",AND(H155="""",AND(I155="""",AND(J155="""",AND(K155="""",L155=""""))))))))),"""",(P142+IF(C150="""",0,IF(REGEXMATCH(C150,""W""),IF(C147&lt;0,((-100/C147))*10,((C147/100)*10)),-10))+IF(D1"&amp;"50="""",0,IF(REGEXMATCH(D150,""W""),IF(D147&lt;0,((-100/D147))*10,((D147/100)*10)),-10))+IF(E150="""",0,IF(REGEXMATCH(E150,""W""),IF(E147&lt;0,((-100/E147))*10,((E147/100)*10)),-10))+IF(F150="""",0,IF(REGEXMATCH(F150,""W""),IF(F147&lt;0,((-100/F147))*10,((F147/100"&amp;")*10)),-10))+IF(G150="""",0,IF(REGEXMATCH(G150,""W""),IF(G147&lt;0,((-100/G147))*10,((G147/100)*10)),-10))+IF(H150="""",0,IF(REGEXMATCH(H150,""W""),IF(H147&lt;0,((-100/H147))*10,((H147/100)*10)),-10))+IF(I150="""",0,IF(REGEXMATCH(I150,""W""),IF(I147&lt;0,((-100/I1"&amp;"47))*10,((I147/100)*10)),-10))+IF(J150="""",0,IF(REGEXMATCH(J150,""W""),IF(J147&lt;0,((-100/J147))*10,((J147/100)*10)),-10))+IF(K150="""",0,IF(REGEXMATCH(K150,""W""),IF(K147&lt;0,((-100/K147))*10,((K147/100)*10)),-10))+IF(L150="""",0,IF(REGEXMATCH(L150,""W""),I"&amp;"F(L147&lt;0,((-100/L147))*10,((L147/100)*10)),-10))))"),"")</f>
        <v/>
      </c>
      <c r="Q155" s="4"/>
    </row>
    <row r="156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</row>
    <row r="157">
      <c r="A157" s="1" t="s">
        <v>399</v>
      </c>
      <c r="B157" s="2"/>
      <c r="C157" s="3" t="s">
        <v>1</v>
      </c>
      <c r="D157" s="3" t="s">
        <v>2</v>
      </c>
      <c r="E157" s="3" t="s">
        <v>3</v>
      </c>
      <c r="F157" s="3" t="s">
        <v>4</v>
      </c>
      <c r="G157" s="3" t="s">
        <v>5</v>
      </c>
      <c r="H157" s="3" t="s">
        <v>6</v>
      </c>
      <c r="I157" s="3" t="s">
        <v>7</v>
      </c>
      <c r="J157" s="3" t="s">
        <v>8</v>
      </c>
      <c r="K157" s="3" t="s">
        <v>9</v>
      </c>
      <c r="L157" s="3" t="s">
        <v>10</v>
      </c>
      <c r="M157" s="2"/>
      <c r="N157" s="4"/>
      <c r="O157" s="3" t="s">
        <v>11</v>
      </c>
      <c r="P157" s="4"/>
      <c r="Q157" s="4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</row>
    <row r="159">
      <c r="A159" s="3" t="s">
        <v>12</v>
      </c>
      <c r="B159" s="2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2"/>
      <c r="N159" s="3" t="s">
        <v>13</v>
      </c>
      <c r="O159" s="7" t="str">
        <f>IF(AND(C160="",AND(D160="",AND(E160="",AND(F160="",AND(G160="",AND(H160="",AND(I160="",AND(J160="",AND(K160="",L160=""))))))))),"",IF(((IF(C160="",1,IF(C160&gt;0,(C160/100)+1,(100/((-1)*C160))+1)))*(IF(D160="",1,IF(D160&gt;0,(D160/100)+1,(100/((-1)*D160))+1)))*(IF(E160="",1,IF(E160&gt;0,(E160/100)+1,(100/((-1)*E160))+1)))*(IF(F160="",1,IF(F160&gt;0,(F160/100)+1,(100/((-1)*F160))+1)))*(IF(G160="",1,IF(G160&gt;0,(G160/100)+1,(100/((-1)*G160))+1)))*(IF(H160="",1,IF(H160&gt;0,(H160/100)+1,(100/((-1)*H160))+1)))*(IF(I160="",1,IF(I160&gt;0,(I160/100)+1,(100/((-1)*I160))+1)))*(IF(J160="",1,IF(J160&gt;0,(J160/100)+1,(100/((-1)*J160))+1)))*(IF(K160="",1,IF(K160&gt;0,(K160/100)+1,(100/((-1)*K160))+1)))*(IF(L160="",1,IF(L160&gt;0,(L160/100)+1,(100/((-1)*L160))+1))))&lt;2,((-100)/(((IF(C160="",1,IF(C160&gt;0,(C160/100)+1,(100/((-1)*C160))+1)))*(IF(D160="",1,IF(D160&gt;0,(D160/100)+1,(100/((-1)*D160))+1)))*(IF(E160="",1,IF(E160&gt;0,(E160/100)+1,(100/((-1)*E160))+1)))*(IF(F160="",1,IF(F160&gt;0,(F160/100)+1,(100/((-1)*F160))+1)))*(IF(G160="",1,IF(G160&gt;0,(G160/100)+1,(100/((-1)*G160))+1)))*(IF(H160="",1,IF(H160&gt;0,(H160/100)+1,(100/((-1)*H160))+1)))*(IF(I160="",1,IF(I160&gt;0,(I160/100)+1,(100/((-1)*I160))+1)))*(IF(J160="",1,IF(J160&gt;0,(J160/100)+1,(100/((-1)*J160))+1)))*(IF(K160="",1,IF(K160&gt;0,(K160/100)+1,(100/((-1)*K160))+1)))*(IF(L160="",1,IF(L160&gt;0,(L160/100)+1,(100/((-1)*L160))+1))))-1)),((((IF(C160="",1,IF(C160&gt;0,(C160/100)+1,(100/((-1)*C160))+1)))*(IF(D160="",1,IF(D160&gt;0,(D160/100)+1,(100/((-1)*D160))+1)))*(IF(E160="",1,IF(E160&gt;0,(E160/100)+1,(100/((-1)*E160))+1)))*(IF(F160="",1,IF(F160&gt;0,(F160/100)+1,(100/((-1)*F160))+1)))*(IF(G160="",1,IF(G160&gt;0,(G160/100)+1,(100/((-1)*G160))+1)))*(IF(H160="",1,IF(H160&gt;0,(H160/100)+1,(100/((-1)*H160))+1)))*(IF(I160="",1,IF(I160&gt;0,(I160/100)+1,(100/((-1)*I160))+1)))*(IF(J160="",1,IF(J160&gt;0,(J160/100)+1,(100/((-1)*J160))+1)))*(IF(K160="",1,IF(K160&gt;0,(K160/100)+1,(100/((-1)*K160))+1)))*(IF(L160="",1,IF(L160&gt;0,(L160/100)+1,(100/((-1)*L160))+1))))-1)*(100))))</f>
        <v/>
      </c>
      <c r="P159" s="4"/>
      <c r="Q159" s="8" t="s">
        <v>35</v>
      </c>
    </row>
    <row r="160">
      <c r="A160" s="3" t="s">
        <v>13</v>
      </c>
      <c r="B160" s="2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2">
        <v>12.0</v>
      </c>
      <c r="N160" s="3" t="s">
        <v>36</v>
      </c>
      <c r="O160" s="10" t="str">
        <f>IF(AND(C160="",AND(D160="",AND(E160="",AND(F160="",AND(G160="",AND(H160="",AND(I160="",AND(J160="",AND(K160="",L160=""))))))))),"",10+IF((IF(((IF(C160="",1,IF(C160&gt;0,(C160/100)+1,(100/((-1)*C160))+1)))*(IF(D160="",1,IF(D160&gt;0,(D160/100)+1,(100/((-1)*D160))+1)))*(IF(E160="",1,IF(E160&gt;0,(E160/100)+1,(100/((-1)*E160))+1)))*(IF(F160="",1,IF(F160&gt;0,(F160/100)+1,(100/((-1)*F160))+1)))*(IF(G160="",1,IF(G160&gt;0,(G160/100)+1,(100/((-1)*G160))+1)))*(IF(H160="",1,IF(H160&gt;0,(H160/100)+1,(100/((-1)*H160))+1)))*(IF(I160="",1,IF(I160&gt;0,(I160/100)+1,(100/((-1)*I160))+1)))*(IF(J160="",1,IF(J160&gt;0,(J160/100)+1,(100/((-1)*J160))+1)))*(IF(K160="",1,IF(K160&gt;0,(K160/100)+1,(100/((-1)*K160))+1)))*(IF(L160="",1,IF(L160&gt;0,(L160/100)+1,(100/((-1)*L160))+1))))&lt;2,((-100)/(((IF(C160="",1,IF(C160&gt;0,(C160/100)+1,(100/((-1)*C160))+1)))*(IF(D160="",1,IF(D160&gt;0,(D160/100)+1,(100/((-1)*D160))+1)))*(IF(E160="",1,IF(E160&gt;0,(E160/100)+1,(100/((-1)*E160))+1)))*(IF(F160="",1,IF(F160&gt;0,(F160/100)+1,(100/((-1)*F160))+1)))*(IF(G160="",1,IF(G160&gt;0,(G160/100)+1,(100/((-1)*G160))+1)))*(IF(H160="",1,IF(H160&gt;0,(H160/100)+1,(100/((-1)*H160))+1)))*(IF(I160="",1,IF(I160&gt;0,(I160/100)+1,(100/((-1)*I160))+1)))*(IF(J160="",1,IF(J160&gt;0,(J160/100)+1,(100/((-1)*J160))+1)))*(IF(K160="",1,IF(K160&gt;0,(K160/100)+1,(100/((-1)*K160))+1)))*(IF(L160="",1,IF(L160&gt;0,(L160/100)+1,(100/((-1)*L160))+1))))-1)),((((IF(C160="",1,IF(C160&gt;0,(C160/100)+1,(100/((-1)*C160))+1)))*(IF(D160="",1,IF(D160&gt;0,(D160/100)+1,(100/((-1)*D160))+1)))*(IF(E160="",1,IF(E160&gt;0,(E160/100)+1,(100/((-1)*E160))+1)))*(IF(F160="",1,IF(F160&gt;0,(F160/100)+1,(100/((-1)*F160))+1)))*(IF(G160="",1,IF(G160&gt;0,(G160/100)+1,(100/((-1)*G160))+1)))*(IF(H160="",1,IF(H160&gt;0,(H160/100)+1,(100/((-1)*H160))+1)))*(IF(I160="",1,IF(I160&gt;0,(I160/100)+1,(100/((-1)*I160))+1)))*(IF(J160="",1,IF(J160&gt;0,(J160/100)+1,(100/((-1)*J160))+1)))*(IF(K160="",1,IF(K160&gt;0,(K160/100)+1,(100/((-1)*K160))+1)))*(IF(L160="",1,IF(L160&gt;0,(L160/100)+1,(100/((-1)*L160))+1))))-1)*(100))))&lt;0,(((-100)/((IF(((IF(C160="",1,IF(C160&gt;0,(C160/100)+1,(100/((-1)*C160))+1)))*(IF(D160="",1,IF(D160&gt;0,(D160/100)+1,(100/((-1)*D160))+1)))*(IF(E160="",1,IF(E160&gt;0,(E160/100)+1,(100/((-1)*E160))+1)))*(IF(F160="",1,IF(F160&gt;0,(F160/100)+1,(100/((-1)*F160))+1)))*(IF(G160="",1,IF(G160&gt;0,(G160/100)+1,(100/((-1)*G160))+1)))*(IF(H160="",1,IF(H160&gt;0,(H160/100)+1,(100/((-1)*H160))+1)))*(IF(I160="",1,IF(I160&gt;0,(I160/100)+1,(100/((-1)*I160))+1)))*(IF(J160="",1,IF(J160&gt;0,(J160/100)+1,(100/((-1)*J160))+1)))*(IF(K160="",1,IF(K160&gt;0,(K160/100)+1,(100/((-1)*K160))+1)))*(IF(L160="",1,IF(L160&gt;0,(L160/100)+1,(100/((-1)*L160))+1))))&lt;2,((-100)/(((IF(C160="",1,IF(C160&gt;0,(C160/100)+1,(100/((-1)*C160))+1)))*(IF(D160="",1,IF(D160&gt;0,(D160/100)+1,(100/((-1)*D160))+1)))*(IF(E160="",1,IF(E160&gt;0,(E160/100)+1,(100/((-1)*E160))+1)))*(IF(F160="",1,IF(F160&gt;0,(F160/100)+1,(100/((-1)*F160))+1)))*(IF(G160="",1,IF(G160&gt;0,(G160/100)+1,(100/((-1)*G160))+1)))*(IF(H160="",1,IF(H160&gt;0,(H160/100)+1,(100/((-1)*H160))+1)))*(IF(I160="",1,IF(I160&gt;0,(I160/100)+1,(100/((-1)*I160))+1)))*(IF(J160="",1,IF(J160&gt;0,(J160/100)+1,(100/((-1)*J160))+1)))*(IF(K160="",1,IF(K160&gt;0,(K160/100)+1,(100/((-1)*K160))+1)))*(IF(L160="",1,IF(L160&gt;0,(L160/100)+1,(100/((-1)*L160))+1))))-1)),((((IF(C160="",1,IF(C160&gt;0,(C160/100)+1,(100/((-1)*C160))+1)))*(IF(D160="",1,IF(D160&gt;0,(D160/100)+1,(100/((-1)*D160))+1)))*(IF(E160="",1,IF(E160&gt;0,(E160/100)+1,(100/((-1)*E160))+1)))*(IF(F160="",1,IF(F160&gt;0,(F160/100)+1,(100/((-1)*F160))+1)))*(IF(G160="",1,IF(G160&gt;0,(G160/100)+1,(100/((-1)*G160))+1)))*(IF(H160="",1,IF(H160&gt;0,(H160/100)+1,(100/((-1)*H160))+1)))*(IF(I160="",1,IF(I160&gt;0,(I160/100)+1,(100/((-1)*I160))+1)))*(IF(J160="",1,IF(J160&gt;0,(J160/100)+1,(100/((-1)*J160))+1)))*(IF(K160="",1,IF(K160&gt;0,(K160/100)+1,(100/((-1)*K160))+1)))*(IF(L160="",1,IF(L160&gt;0,(L160/100)+1,(100/((-1)*L160))+1))))-1)*(100))))))*10),(((IF(((IF(C160="",1,IF(C160&gt;0,(C160/100)+1,(100/((-1)*C160))+1)))*(IF(D160="",1,IF(D160&gt;0,(D160/100)+1,(100/((-1)*D160))+1)))*(IF(E160="",1,IF(E160&gt;0,(E160/100)+1,(100/((-1)*E160))+1)))*(IF(F160="",1,IF(F160&gt;0,(F160/100)+1,(100/((-1)*F160))+1)))*(IF(G160="",1,IF(G160&gt;0,(G160/100)+1,(100/((-1)*G160))+1)))*(IF(H160="",1,IF(H160&gt;0,(H160/100)+1,(100/((-1)*H160))+1)))*(IF(I160="",1,IF(I160&gt;0,(I160/100)+1,(100/((-1)*I160))+1)))*(IF(J160="",1,IF(J160&gt;0,(J160/100)+1,(100/((-1)*J160))+1)))*(IF(K160="",1,IF(K160&gt;0,(K160/100)+1,(100/((-1)*K160))+1)))*(IF(L160="",1,IF(L160&gt;0,(L160/100)+1,(100/((-1)*L160))+1))))&lt;2,((-100)/(((IF(C160="",1,IF(C160&gt;0,(C160/100)+1,(100/((-1)*C160))+1)))*(IF(D160="",1,IF(D160&gt;0,(D160/100)+1,(100/((-1)*D160))+1)))*(IF(E160="",1,IF(E160&gt;0,(E160/100)+1,(100/((-1)*E160))+1)))*(IF(F160="",1,IF(F160&gt;0,(F160/100)+1,(100/((-1)*F160))+1)))*(IF(G160="",1,IF(G160&gt;0,(G160/100)+1,(100/((-1)*G160))+1)))*(IF(H160="",1,IF(H160&gt;0,(H160/100)+1,(100/((-1)*H160))+1)))*(IF(I160="",1,IF(I160&gt;0,(I160/100)+1,(100/((-1)*I160))+1)))*(IF(J160="",1,IF(J160&gt;0,(J160/100)+1,(100/((-1)*J160))+1)))*(IF(K160="",1,IF(K160&gt;0,(K160/100)+1,(100/((-1)*K160))+1)))*(IF(L160="",1,IF(L160&gt;0,(L160/100)+1,(100/((-1)*L160))+1))))-1)),((((IF(C160="",1,IF(C160&gt;0,(C160/100)+1,(100/((-1)*C160))+1)))*(IF(D160="",1,IF(D160&gt;0,(D160/100)+1,(100/((-1)*D160))+1)))*(IF(E160="",1,IF(E160&gt;0,(E160/100)+1,(100/((-1)*E160))+1)))*(IF(F160="",1,IF(F160&gt;0,(F160/100)+1,(100/((-1)*F160))+1)))*(IF(G160="",1,IF(G160&gt;0,(G160/100)+1,(100/((-1)*G160))+1)))*(IF(H160="",1,IF(H160&gt;0,(H160/100)+1,(100/((-1)*H160))+1)))*(IF(I160="",1,IF(I160&gt;0,(I160/100)+1,(100/((-1)*I160))+1)))*(IF(J160="",1,IF(J160&gt;0,(J160/100)+1,(100/((-1)*J160))+1)))*(IF(K160="",1,IF(K160&gt;0,(K160/100)+1,(100/((-1)*K160))+1)))*(IF(L160="",1,IF(L160&gt;0,(L160/100)+1,(100/((-1)*L160))+1))))-1)*(100))))/100)*10)))</f>
        <v/>
      </c>
      <c r="P160" s="4"/>
      <c r="Q160" s="4"/>
    </row>
    <row r="161">
      <c r="A161" s="3" t="s">
        <v>37</v>
      </c>
      <c r="B161" s="2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2"/>
      <c r="N161" s="4"/>
      <c r="O161" s="4"/>
      <c r="P161" s="4"/>
      <c r="Q161" s="4"/>
    </row>
    <row r="162">
      <c r="A162" s="3" t="s">
        <v>48</v>
      </c>
      <c r="B162" s="2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2"/>
      <c r="N162" s="4"/>
      <c r="O162" s="3" t="s">
        <v>56</v>
      </c>
      <c r="P162" s="3" t="s">
        <v>57</v>
      </c>
      <c r="Q162" s="4"/>
    </row>
    <row r="163">
      <c r="A163" s="3" t="s">
        <v>59</v>
      </c>
      <c r="B163" s="2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2"/>
      <c r="N163" s="3" t="s">
        <v>65</v>
      </c>
      <c r="O163" s="12" t="str">
        <f>IFERROR(__xludf.DUMMYFUNCTION("IF(OR(COUNTA(C160:L160) = 0, COUNTA(C163:L163) = 0), """", IFERROR(TEXTJOIN("", "", TRUE, FILTER(C157:L157, (C163:L163 = ""W"") * (C160:L160 = MAX(FILTER(C160:L160, C163:L163 = ""W""))))), """"))"),"")</f>
        <v/>
      </c>
      <c r="P163" s="12" t="str">
        <f>IFERROR(__xludf.DUMMYFUNCTION("IF(COUNTA(C168:L168) = 0, """", IFERROR(TEXTJOIN("", "", TRUE, FILTER(C157:L157, C168:L168 = MAX(C168:L168))), """"))"),"")</f>
        <v/>
      </c>
      <c r="Q163" s="4"/>
    </row>
    <row r="164">
      <c r="A164" s="1" t="s">
        <v>81</v>
      </c>
      <c r="B164" s="2"/>
      <c r="C164" s="4" t="str">
        <f t="shared" ref="C164:L164" si="49">IF(OR(C160="",C163=""),"",C151+COUNTIF(C163,"W"))</f>
        <v/>
      </c>
      <c r="D164" s="4" t="str">
        <f t="shared" si="49"/>
        <v/>
      </c>
      <c r="E164" s="4" t="str">
        <f t="shared" si="49"/>
        <v/>
      </c>
      <c r="F164" s="4" t="str">
        <f t="shared" si="49"/>
        <v/>
      </c>
      <c r="G164" s="4" t="str">
        <f t="shared" si="49"/>
        <v/>
      </c>
      <c r="H164" s="4" t="str">
        <f t="shared" si="49"/>
        <v/>
      </c>
      <c r="I164" s="4" t="str">
        <f t="shared" si="49"/>
        <v/>
      </c>
      <c r="J164" s="4" t="str">
        <f t="shared" si="49"/>
        <v/>
      </c>
      <c r="K164" s="4" t="str">
        <f t="shared" si="49"/>
        <v/>
      </c>
      <c r="L164" s="4" t="str">
        <f t="shared" si="49"/>
        <v/>
      </c>
      <c r="M164" s="2"/>
      <c r="N164" s="3" t="s">
        <v>82</v>
      </c>
      <c r="O164" s="4" t="str">
        <f>IFERROR(__xludf.DUMMYFUNCTION("IF(OR(COUNTA(C160:L160) = 0, COUNTA(C163:L163) = 0), """", IFERROR(TEXTJOIN("", "", TRUE, FILTER(C157:L157, (C163:L163 = ""L"") * (C160:L160 = MIN(FILTER(C160:L160, C163:L163 = ""L""))))), """"))"),"")</f>
        <v/>
      </c>
      <c r="P164" s="12" t="str">
        <f>IFERROR(__xludf.DUMMYFUNCTION("IF(COUNTA(C168:L168) = 0, """", IFERROR(TEXTJOIN("", "", TRUE, FILTER(C157:L157, C168:L168 = MIN(C168:L168))), """"))"),"")</f>
        <v/>
      </c>
      <c r="Q164" s="4"/>
    </row>
    <row r="165">
      <c r="A165" s="1" t="s">
        <v>83</v>
      </c>
      <c r="B165" s="2"/>
      <c r="C165" s="27" t="str">
        <f t="shared" ref="C165:L165" si="50">IF(OR(C160="",C163=""),"",C152+COUNTIF(C163,"L"))</f>
        <v/>
      </c>
      <c r="D165" s="27" t="str">
        <f t="shared" si="50"/>
        <v/>
      </c>
      <c r="E165" s="27" t="str">
        <f t="shared" si="50"/>
        <v/>
      </c>
      <c r="F165" s="27" t="str">
        <f t="shared" si="50"/>
        <v/>
      </c>
      <c r="G165" s="27" t="str">
        <f t="shared" si="50"/>
        <v/>
      </c>
      <c r="H165" s="27" t="str">
        <f t="shared" si="50"/>
        <v/>
      </c>
      <c r="I165" s="27" t="str">
        <f t="shared" si="50"/>
        <v/>
      </c>
      <c r="J165" s="27" t="str">
        <f t="shared" si="50"/>
        <v/>
      </c>
      <c r="K165" s="27" t="str">
        <f t="shared" si="50"/>
        <v/>
      </c>
      <c r="L165" s="27" t="str">
        <f t="shared" si="50"/>
        <v/>
      </c>
      <c r="M165" s="2"/>
      <c r="N165" s="3" t="s">
        <v>84</v>
      </c>
      <c r="O165" s="12" t="str">
        <f>IFERROR(__xludf.DUMMYFUNCTION("IF(COUNTA(C160:L160) = 0, """", IFERROR(TEXTJOIN("", "", TRUE, FILTER(C157:L157, C160:L160 = MAX(C160:L160))), """"))"),"")</f>
        <v/>
      </c>
      <c r="P165" s="4" t="str">
        <f>IFERROR(__xludf.DUMMYFUNCTION("IF(COUNTA(C160:L160) = 0, """", IFERROR(TEXTJOIN("", "", TRUE, FILTER(C157:L157, C167:L167 = MAX(C167:L167))), """"))"),"")</f>
        <v/>
      </c>
      <c r="Q165" s="4"/>
    </row>
    <row r="166">
      <c r="A166" s="3" t="s">
        <v>85</v>
      </c>
      <c r="B166" s="2"/>
      <c r="C166" s="24" t="str">
        <f t="shared" ref="C166:L166" si="51">IF(OR(C160="",C163=""),"",(C164/(C164+C165)))</f>
        <v/>
      </c>
      <c r="D166" s="24" t="str">
        <f t="shared" si="51"/>
        <v/>
      </c>
      <c r="E166" s="24" t="str">
        <f t="shared" si="51"/>
        <v/>
      </c>
      <c r="F166" s="24" t="str">
        <f t="shared" si="51"/>
        <v/>
      </c>
      <c r="G166" s="24" t="str">
        <f t="shared" si="51"/>
        <v/>
      </c>
      <c r="H166" s="24" t="str">
        <f t="shared" si="51"/>
        <v/>
      </c>
      <c r="I166" s="24" t="str">
        <f t="shared" si="51"/>
        <v/>
      </c>
      <c r="J166" s="24" t="str">
        <f t="shared" si="51"/>
        <v/>
      </c>
      <c r="K166" s="24" t="str">
        <f t="shared" si="51"/>
        <v/>
      </c>
      <c r="L166" s="24" t="str">
        <f t="shared" si="51"/>
        <v/>
      </c>
      <c r="M166" s="14"/>
      <c r="N166" s="3" t="s">
        <v>86</v>
      </c>
      <c r="O166" s="4" t="str">
        <f>IFERROR(__xludf.DUMMYFUNCTION("IF(COUNTA(C160:L160) = 0, """", IFERROR(TEXTJOIN("", "", TRUE, FILTER(C157:L157, C160:L160 = MIN(C160:L160))), """"))"),"")</f>
        <v/>
      </c>
      <c r="P166" s="4" t="str">
        <f>IFERROR(__xludf.DUMMYFUNCTION("IF(COUNTA(C160:L160) = 0, """", IFERROR(TEXTJOIN("", "", TRUE, FILTER(C157:L157, C167:L167 = MIN(C167:L167))), """"))"),"")</f>
        <v/>
      </c>
      <c r="Q166" s="4"/>
    </row>
    <row r="167">
      <c r="A167" s="3" t="s">
        <v>87</v>
      </c>
      <c r="B167" s="2"/>
      <c r="C167" s="25" t="str">
        <f t="shared" ref="C167:L167" si="52">IF(C160="","",IF(((IF(C160 &lt;0,((-100/C160)+1),((C160/100)+1))+(IF(C154&lt;0,((-100/C154)+1),((C154/100)+1)))*(C151+C152))/(C151+C152+1))&lt;2,(-100/(((IF(C160 &lt;0,((-100/C160)+1),((C160/100)+1))+(IF(C154&lt;0,((-100/C154)+1),((C154/100)+1)))*(C151+C152))/(C151+C152+1))-1)),(((IF(C160 &lt;0,((-100/C160)+1),((C160/100)+1))+(IF(C154&lt;0,((-100/C154)+1),((C154/100)+1)))*(C151+C152))/(C151+C152+1))-1)*100))</f>
        <v/>
      </c>
      <c r="D167" s="25" t="str">
        <f t="shared" si="52"/>
        <v/>
      </c>
      <c r="E167" s="25" t="str">
        <f t="shared" si="52"/>
        <v/>
      </c>
      <c r="F167" s="25" t="str">
        <f t="shared" si="52"/>
        <v/>
      </c>
      <c r="G167" s="25" t="str">
        <f t="shared" si="52"/>
        <v/>
      </c>
      <c r="H167" s="25" t="str">
        <f t="shared" si="52"/>
        <v/>
      </c>
      <c r="I167" s="25" t="str">
        <f t="shared" si="52"/>
        <v/>
      </c>
      <c r="J167" s="25" t="str">
        <f t="shared" si="52"/>
        <v/>
      </c>
      <c r="K167" s="25" t="str">
        <f t="shared" si="52"/>
        <v/>
      </c>
      <c r="L167" s="25" t="str">
        <f t="shared" si="52"/>
        <v/>
      </c>
      <c r="M167" s="14"/>
      <c r="N167" s="4"/>
      <c r="O167" s="12"/>
      <c r="P167" s="12"/>
      <c r="Q167" s="4"/>
    </row>
    <row r="168">
      <c r="A168" s="16" t="s">
        <v>88</v>
      </c>
      <c r="B168" s="2"/>
      <c r="C168" s="26" t="str">
        <f>IFERROR(__xludf.DUMMYFUNCTION("IF(OR(C160="""",C163=""""),"""",IF(REGEXMATCH(C163,""W""),IF(C160&lt;0,((-100/C160))*10+C155,((C160/100)*10+C155)),-10+C155))"),"")</f>
        <v/>
      </c>
      <c r="D168" s="26" t="str">
        <f>IFERROR(__xludf.DUMMYFUNCTION("IF(OR(D160="""",D163=""""),"""",IF(REGEXMATCH(D163,""W""),IF(D160&lt;0,((-100/D160))*10+D155,((D160/100)*10+D155)),-10+D155))"),"")</f>
        <v/>
      </c>
      <c r="E168" s="26" t="str">
        <f>IFERROR(__xludf.DUMMYFUNCTION("IF(OR(E160="""",E163=""""),"""",IF(REGEXMATCH(E163,""W""),IF(E160&lt;0,((-100/E160))*10+E155,((E160/100)*10+E155)),-10+E155))"),"")</f>
        <v/>
      </c>
      <c r="F168" s="26" t="str">
        <f>IFERROR(__xludf.DUMMYFUNCTION("IF(OR(F160="""",F163=""""),"""",IF(REGEXMATCH(F163,""W""),IF(F160&lt;0,((-100/F160))*10+F155,((F160/100)*10+F155)),-10+F155))"),"")</f>
        <v/>
      </c>
      <c r="G168" s="26" t="str">
        <f>IFERROR(__xludf.DUMMYFUNCTION("IF(OR(G160="""",G163=""""),"""",IF(REGEXMATCH(G163,""W""),IF(G160&lt;0,((-100/G160))*10+G155,((G160/100)*10+G155)),-10+G155))"),"")</f>
        <v/>
      </c>
      <c r="H168" s="26" t="str">
        <f>IFERROR(__xludf.DUMMYFUNCTION("IF(OR(H160="""",H163=""""),"""",IF(REGEXMATCH(H163,""W""),IF(H160&lt;0,((-100/H160))*10+H155,((H160/100)*10+H155)),-10+H155))"),"")</f>
        <v/>
      </c>
      <c r="I168" s="26" t="str">
        <f>IFERROR(__xludf.DUMMYFUNCTION("IF(OR(I160="""",I163=""""),"""",IF(REGEXMATCH(I163,""W""),IF(I160&lt;0,((-100/I160))*10+I155,((I160/100)*10+I155)),-10+I155))"),"")</f>
        <v/>
      </c>
      <c r="J168" s="26" t="str">
        <f>IFERROR(__xludf.DUMMYFUNCTION("IF(OR(J160="""",J163=""""),"""",IF(REGEXMATCH(J163,""W""),IF(J160&lt;0,((-100/J160))*10+J155,((J160/100)*10+J155)),-10+J155))"),"")</f>
        <v/>
      </c>
      <c r="K168" s="26" t="str">
        <f>IFERROR(__xludf.DUMMYFUNCTION("IF(OR(K160="""",K163=""""),"""",IF(REGEXMATCH(K163,""W""),IF(K160&lt;0,((-100/K160))*10+K155,((K160/100)*10+K155)),-10+K155))"),"")</f>
        <v/>
      </c>
      <c r="L168" s="26" t="str">
        <f>IFERROR(__xludf.DUMMYFUNCTION("IF(OR(L160="""",L163=""""),"""",IF(REGEXMATCH(L163,""W""),IF(L160&lt;0,((-100/L160))*10+L155,((L160/100)*10+L155)),-10+L155))"),"")</f>
        <v/>
      </c>
      <c r="M168" s="14"/>
      <c r="N168" s="16" t="s">
        <v>89</v>
      </c>
      <c r="O168" s="10" t="str">
        <f>IFERROR(__xludf.DUMMYFUNCTION("IF(AND(C168="""",AND(D168="""",AND(E168="""",AND(F168="""",AND(G168="""",AND(H168="""",AND(I168="""",AND(J168="""",AND(K168="""",L168=""""))))))))),"""",(IF(C163="""",0,IF(REGEXMATCH(C163,""W""),IF(C160&lt;0,((-100/C160))*10,((C160/100)*10)),-10))+IF(D163="""&amp;""",0,IF(REGEXMATCH(D163,""W""),IF(D160&lt;0,((-100/D160))*10,((D160/100)*10)),-10))+IF(E163="""",0,IF(REGEXMATCH(E163,""W""),IF(E160&lt;0,((-100/E160))*10,((E160/100)*10)),-10))+IF(F163="""",0,IF(REGEXMATCH(F163,""W""),IF(F160&lt;0,((-100/F160))*10,((F160/100)*10)"&amp;"),-10))+IF(G163="""",0,IF(REGEXMATCH(G163,""W""),IF(G160&lt;0,((-100/G160))*10,((G160/100)*10)),-10))+IF(H163="""",0,IF(REGEXMATCH(H163,""W""),IF(H160&lt;0,((-100/H160))*10,((H160/100)*10)),-10))+IF(I163="""",0,IF(REGEXMATCH(I163,""W""),IF(I160&lt;0,((-100/I160))*"&amp;"10,((I160/100)*10)),-10))+IF(J163="""",0,IF(REGEXMATCH(J163,""W""),IF(J160&lt;0,((-100/J160))*10,((J160/100)*10)),-10))+IF(K163="""",0,IF(REGEXMATCH(K163,""W""),IF(K160&lt;0,((-100/K160))*10,((K160/100)*10)),-10))+IF(L163="""",0,IF(REGEXMATCH(L163,""W""),IF(L16"&amp;"0&lt;0,((-100/L160))*10,((L160/100)*10)),-10))))"),"")</f>
        <v/>
      </c>
      <c r="P168" s="10" t="str">
        <f>IFERROR(__xludf.DUMMYFUNCTION("IF(AND(C168="""",AND(D168="""",AND(E168="""",AND(F168="""",AND(G168="""",AND(H168="""",AND(I168="""",AND(J168="""",AND(K168="""",L168=""""))))))))),"""",(P155+IF(C163="""",0,IF(REGEXMATCH(C163,""W""),IF(C160&lt;0,((-100/C160))*10,((C160/100)*10)),-10))+IF(D1"&amp;"63="""",0,IF(REGEXMATCH(D163,""W""),IF(D160&lt;0,((-100/D160))*10,((D160/100)*10)),-10))+IF(E163="""",0,IF(REGEXMATCH(E163,""W""),IF(E160&lt;0,((-100/E160))*10,((E160/100)*10)),-10))+IF(F163="""",0,IF(REGEXMATCH(F163,""W""),IF(F160&lt;0,((-100/F160))*10,((F160/100"&amp;")*10)),-10))+IF(G163="""",0,IF(REGEXMATCH(G163,""W""),IF(G160&lt;0,((-100/G160))*10,((G160/100)*10)),-10))+IF(H163="""",0,IF(REGEXMATCH(H163,""W""),IF(H160&lt;0,((-100/H160))*10,((H160/100)*10)),-10))+IF(I163="""",0,IF(REGEXMATCH(I163,""W""),IF(I160&lt;0,((-100/I1"&amp;"60))*10,((I160/100)*10)),-10))+IF(J163="""",0,IF(REGEXMATCH(J163,""W""),IF(J160&lt;0,((-100/J160))*10,((J160/100)*10)),-10))+IF(K163="""",0,IF(REGEXMATCH(K163,""W""),IF(K160&lt;0,((-100/K160))*10,((K160/100)*10)),-10))+IF(L163="""",0,IF(REGEXMATCH(L163,""W""),I"&amp;"F(L160&lt;0,((-100/L160))*10,((L160/100)*10)),-10))))"),"")</f>
        <v/>
      </c>
      <c r="Q168" s="4"/>
    </row>
    <row r="169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</row>
    <row r="170">
      <c r="A170" s="1" t="s">
        <v>449</v>
      </c>
      <c r="B170" s="2"/>
      <c r="C170" s="3" t="s">
        <v>1</v>
      </c>
      <c r="D170" s="3" t="s">
        <v>2</v>
      </c>
      <c r="E170" s="3" t="s">
        <v>3</v>
      </c>
      <c r="F170" s="3" t="s">
        <v>4</v>
      </c>
      <c r="G170" s="3" t="s">
        <v>5</v>
      </c>
      <c r="H170" s="3" t="s">
        <v>6</v>
      </c>
      <c r="I170" s="3" t="s">
        <v>7</v>
      </c>
      <c r="J170" s="3" t="s">
        <v>8</v>
      </c>
      <c r="K170" s="3" t="s">
        <v>9</v>
      </c>
      <c r="L170" s="3" t="s">
        <v>10</v>
      </c>
      <c r="M170" s="2"/>
      <c r="N170" s="4"/>
      <c r="O170" s="3" t="s">
        <v>11</v>
      </c>
      <c r="P170" s="4"/>
      <c r="Q170" s="4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</row>
    <row r="172">
      <c r="A172" s="3" t="s">
        <v>12</v>
      </c>
      <c r="B172" s="2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2"/>
      <c r="N172" s="3" t="s">
        <v>13</v>
      </c>
      <c r="O172" s="7" t="str">
        <f>IF(AND(C173="",AND(D173="",AND(E173="",AND(F173="",AND(G173="",AND(H173="",AND(I173="",AND(J173="",AND(K173="",L173=""))))))))),"",IF(((IF(C173="",1,IF(C173&gt;0,(C173/100)+1,(100/((-1)*C173))+1)))*(IF(D173="",1,IF(D173&gt;0,(D173/100)+1,(100/((-1)*D173))+1)))*(IF(E173="",1,IF(E173&gt;0,(E173/100)+1,(100/((-1)*E173))+1)))*(IF(F173="",1,IF(F173&gt;0,(F173/100)+1,(100/((-1)*F173))+1)))*(IF(G173="",1,IF(G173&gt;0,(G173/100)+1,(100/((-1)*G173))+1)))*(IF(H173="",1,IF(H173&gt;0,(H173/100)+1,(100/((-1)*H173))+1)))*(IF(I173="",1,IF(I173&gt;0,(I173/100)+1,(100/((-1)*I173))+1)))*(IF(J173="",1,IF(J173&gt;0,(J173/100)+1,(100/((-1)*J173))+1)))*(IF(K173="",1,IF(K173&gt;0,(K173/100)+1,(100/((-1)*K173))+1)))*(IF(L173="",1,IF(L173&gt;0,(L173/100)+1,(100/((-1)*L173))+1))))&lt;2,((-100)/(((IF(C173="",1,IF(C173&gt;0,(C173/100)+1,(100/((-1)*C173))+1)))*(IF(D173="",1,IF(D173&gt;0,(D173/100)+1,(100/((-1)*D173))+1)))*(IF(E173="",1,IF(E173&gt;0,(E173/100)+1,(100/((-1)*E173))+1)))*(IF(F173="",1,IF(F173&gt;0,(F173/100)+1,(100/((-1)*F173))+1)))*(IF(G173="",1,IF(G173&gt;0,(G173/100)+1,(100/((-1)*G173))+1)))*(IF(H173="",1,IF(H173&gt;0,(H173/100)+1,(100/((-1)*H173))+1)))*(IF(I173="",1,IF(I173&gt;0,(I173/100)+1,(100/((-1)*I173))+1)))*(IF(J173="",1,IF(J173&gt;0,(J173/100)+1,(100/((-1)*J173))+1)))*(IF(K173="",1,IF(K173&gt;0,(K173/100)+1,(100/((-1)*K173))+1)))*(IF(L173="",1,IF(L173&gt;0,(L173/100)+1,(100/((-1)*L173))+1))))-1)),((((IF(C173="",1,IF(C173&gt;0,(C173/100)+1,(100/((-1)*C173))+1)))*(IF(D173="",1,IF(D173&gt;0,(D173/100)+1,(100/((-1)*D173))+1)))*(IF(E173="",1,IF(E173&gt;0,(E173/100)+1,(100/((-1)*E173))+1)))*(IF(F173="",1,IF(F173&gt;0,(F173/100)+1,(100/((-1)*F173))+1)))*(IF(G173="",1,IF(G173&gt;0,(G173/100)+1,(100/((-1)*G173))+1)))*(IF(H173="",1,IF(H173&gt;0,(H173/100)+1,(100/((-1)*H173))+1)))*(IF(I173="",1,IF(I173&gt;0,(I173/100)+1,(100/((-1)*I173))+1)))*(IF(J173="",1,IF(J173&gt;0,(J173/100)+1,(100/((-1)*J173))+1)))*(IF(K173="",1,IF(K173&gt;0,(K173/100)+1,(100/((-1)*K173))+1)))*(IF(L173="",1,IF(L173&gt;0,(L173/100)+1,(100/((-1)*L173))+1))))-1)*(100))))</f>
        <v/>
      </c>
      <c r="P172" s="4"/>
      <c r="Q172" s="8" t="s">
        <v>35</v>
      </c>
    </row>
    <row r="173">
      <c r="A173" s="3" t="s">
        <v>13</v>
      </c>
      <c r="B173" s="2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2">
        <v>13.0</v>
      </c>
      <c r="N173" s="3" t="s">
        <v>36</v>
      </c>
      <c r="O173" s="10" t="str">
        <f>IF(AND(C173="",AND(D173="",AND(E173="",AND(F173="",AND(G173="",AND(H173="",AND(I173="",AND(J173="",AND(K173="",L173=""))))))))),"",10+IF((IF(((IF(C173="",1,IF(C173&gt;0,(C173/100)+1,(100/((-1)*C173))+1)))*(IF(D173="",1,IF(D173&gt;0,(D173/100)+1,(100/((-1)*D173))+1)))*(IF(E173="",1,IF(E173&gt;0,(E173/100)+1,(100/((-1)*E173))+1)))*(IF(F173="",1,IF(F173&gt;0,(F173/100)+1,(100/((-1)*F173))+1)))*(IF(G173="",1,IF(G173&gt;0,(G173/100)+1,(100/((-1)*G173))+1)))*(IF(H173="",1,IF(H173&gt;0,(H173/100)+1,(100/((-1)*H173))+1)))*(IF(I173="",1,IF(I173&gt;0,(I173/100)+1,(100/((-1)*I173))+1)))*(IF(J173="",1,IF(J173&gt;0,(J173/100)+1,(100/((-1)*J173))+1)))*(IF(K173="",1,IF(K173&gt;0,(K173/100)+1,(100/((-1)*K173))+1)))*(IF(L173="",1,IF(L173&gt;0,(L173/100)+1,(100/((-1)*L173))+1))))&lt;2,((-100)/(((IF(C173="",1,IF(C173&gt;0,(C173/100)+1,(100/((-1)*C173))+1)))*(IF(D173="",1,IF(D173&gt;0,(D173/100)+1,(100/((-1)*D173))+1)))*(IF(E173="",1,IF(E173&gt;0,(E173/100)+1,(100/((-1)*E173))+1)))*(IF(F173="",1,IF(F173&gt;0,(F173/100)+1,(100/((-1)*F173))+1)))*(IF(G173="",1,IF(G173&gt;0,(G173/100)+1,(100/((-1)*G173))+1)))*(IF(H173="",1,IF(H173&gt;0,(H173/100)+1,(100/((-1)*H173))+1)))*(IF(I173="",1,IF(I173&gt;0,(I173/100)+1,(100/((-1)*I173))+1)))*(IF(J173="",1,IF(J173&gt;0,(J173/100)+1,(100/((-1)*J173))+1)))*(IF(K173="",1,IF(K173&gt;0,(K173/100)+1,(100/((-1)*K173))+1)))*(IF(L173="",1,IF(L173&gt;0,(L173/100)+1,(100/((-1)*L173))+1))))-1)),((((IF(C173="",1,IF(C173&gt;0,(C173/100)+1,(100/((-1)*C173))+1)))*(IF(D173="",1,IF(D173&gt;0,(D173/100)+1,(100/((-1)*D173))+1)))*(IF(E173="",1,IF(E173&gt;0,(E173/100)+1,(100/((-1)*E173))+1)))*(IF(F173="",1,IF(F173&gt;0,(F173/100)+1,(100/((-1)*F173))+1)))*(IF(G173="",1,IF(G173&gt;0,(G173/100)+1,(100/((-1)*G173))+1)))*(IF(H173="",1,IF(H173&gt;0,(H173/100)+1,(100/((-1)*H173))+1)))*(IF(I173="",1,IF(I173&gt;0,(I173/100)+1,(100/((-1)*I173))+1)))*(IF(J173="",1,IF(J173&gt;0,(J173/100)+1,(100/((-1)*J173))+1)))*(IF(K173="",1,IF(K173&gt;0,(K173/100)+1,(100/((-1)*K173))+1)))*(IF(L173="",1,IF(L173&gt;0,(L173/100)+1,(100/((-1)*L173))+1))))-1)*(100))))&lt;0,(((-100)/((IF(((IF(C173="",1,IF(C173&gt;0,(C173/100)+1,(100/((-1)*C173))+1)))*(IF(D173="",1,IF(D173&gt;0,(D173/100)+1,(100/((-1)*D173))+1)))*(IF(E173="",1,IF(E173&gt;0,(E173/100)+1,(100/((-1)*E173))+1)))*(IF(F173="",1,IF(F173&gt;0,(F173/100)+1,(100/((-1)*F173))+1)))*(IF(G173="",1,IF(G173&gt;0,(G173/100)+1,(100/((-1)*G173))+1)))*(IF(H173="",1,IF(H173&gt;0,(H173/100)+1,(100/((-1)*H173))+1)))*(IF(I173="",1,IF(I173&gt;0,(I173/100)+1,(100/((-1)*I173))+1)))*(IF(J173="",1,IF(J173&gt;0,(J173/100)+1,(100/((-1)*J173))+1)))*(IF(K173="",1,IF(K173&gt;0,(K173/100)+1,(100/((-1)*K173))+1)))*(IF(L173="",1,IF(L173&gt;0,(L173/100)+1,(100/((-1)*L173))+1))))&lt;2,((-100)/(((IF(C173="",1,IF(C173&gt;0,(C173/100)+1,(100/((-1)*C173))+1)))*(IF(D173="",1,IF(D173&gt;0,(D173/100)+1,(100/((-1)*D173))+1)))*(IF(E173="",1,IF(E173&gt;0,(E173/100)+1,(100/((-1)*E173))+1)))*(IF(F173="",1,IF(F173&gt;0,(F173/100)+1,(100/((-1)*F173))+1)))*(IF(G173="",1,IF(G173&gt;0,(G173/100)+1,(100/((-1)*G173))+1)))*(IF(H173="",1,IF(H173&gt;0,(H173/100)+1,(100/((-1)*H173))+1)))*(IF(I173="",1,IF(I173&gt;0,(I173/100)+1,(100/((-1)*I173))+1)))*(IF(J173="",1,IF(J173&gt;0,(J173/100)+1,(100/((-1)*J173))+1)))*(IF(K173="",1,IF(K173&gt;0,(K173/100)+1,(100/((-1)*K173))+1)))*(IF(L173="",1,IF(L173&gt;0,(L173/100)+1,(100/((-1)*L173))+1))))-1)),((((IF(C173="",1,IF(C173&gt;0,(C173/100)+1,(100/((-1)*C173))+1)))*(IF(D173="",1,IF(D173&gt;0,(D173/100)+1,(100/((-1)*D173))+1)))*(IF(E173="",1,IF(E173&gt;0,(E173/100)+1,(100/((-1)*E173))+1)))*(IF(F173="",1,IF(F173&gt;0,(F173/100)+1,(100/((-1)*F173))+1)))*(IF(G173="",1,IF(G173&gt;0,(G173/100)+1,(100/((-1)*G173))+1)))*(IF(H173="",1,IF(H173&gt;0,(H173/100)+1,(100/((-1)*H173))+1)))*(IF(I173="",1,IF(I173&gt;0,(I173/100)+1,(100/((-1)*I173))+1)))*(IF(J173="",1,IF(J173&gt;0,(J173/100)+1,(100/((-1)*J173))+1)))*(IF(K173="",1,IF(K173&gt;0,(K173/100)+1,(100/((-1)*K173))+1)))*(IF(L173="",1,IF(L173&gt;0,(L173/100)+1,(100/((-1)*L173))+1))))-1)*(100))))))*10),(((IF(((IF(C173="",1,IF(C173&gt;0,(C173/100)+1,(100/((-1)*C173))+1)))*(IF(D173="",1,IF(D173&gt;0,(D173/100)+1,(100/((-1)*D173))+1)))*(IF(E173="",1,IF(E173&gt;0,(E173/100)+1,(100/((-1)*E173))+1)))*(IF(F173="",1,IF(F173&gt;0,(F173/100)+1,(100/((-1)*F173))+1)))*(IF(G173="",1,IF(G173&gt;0,(G173/100)+1,(100/((-1)*G173))+1)))*(IF(H173="",1,IF(H173&gt;0,(H173/100)+1,(100/((-1)*H173))+1)))*(IF(I173="",1,IF(I173&gt;0,(I173/100)+1,(100/((-1)*I173))+1)))*(IF(J173="",1,IF(J173&gt;0,(J173/100)+1,(100/((-1)*J173))+1)))*(IF(K173="",1,IF(K173&gt;0,(K173/100)+1,(100/((-1)*K173))+1)))*(IF(L173="",1,IF(L173&gt;0,(L173/100)+1,(100/((-1)*L173))+1))))&lt;2,((-100)/(((IF(C173="",1,IF(C173&gt;0,(C173/100)+1,(100/((-1)*C173))+1)))*(IF(D173="",1,IF(D173&gt;0,(D173/100)+1,(100/((-1)*D173))+1)))*(IF(E173="",1,IF(E173&gt;0,(E173/100)+1,(100/((-1)*E173))+1)))*(IF(F173="",1,IF(F173&gt;0,(F173/100)+1,(100/((-1)*F173))+1)))*(IF(G173="",1,IF(G173&gt;0,(G173/100)+1,(100/((-1)*G173))+1)))*(IF(H173="",1,IF(H173&gt;0,(H173/100)+1,(100/((-1)*H173))+1)))*(IF(I173="",1,IF(I173&gt;0,(I173/100)+1,(100/((-1)*I173))+1)))*(IF(J173="",1,IF(J173&gt;0,(J173/100)+1,(100/((-1)*J173))+1)))*(IF(K173="",1,IF(K173&gt;0,(K173/100)+1,(100/((-1)*K173))+1)))*(IF(L173="",1,IF(L173&gt;0,(L173/100)+1,(100/((-1)*L173))+1))))-1)),((((IF(C173="",1,IF(C173&gt;0,(C173/100)+1,(100/((-1)*C173))+1)))*(IF(D173="",1,IF(D173&gt;0,(D173/100)+1,(100/((-1)*D173))+1)))*(IF(E173="",1,IF(E173&gt;0,(E173/100)+1,(100/((-1)*E173))+1)))*(IF(F173="",1,IF(F173&gt;0,(F173/100)+1,(100/((-1)*F173))+1)))*(IF(G173="",1,IF(G173&gt;0,(G173/100)+1,(100/((-1)*G173))+1)))*(IF(H173="",1,IF(H173&gt;0,(H173/100)+1,(100/((-1)*H173))+1)))*(IF(I173="",1,IF(I173&gt;0,(I173/100)+1,(100/((-1)*I173))+1)))*(IF(J173="",1,IF(J173&gt;0,(J173/100)+1,(100/((-1)*J173))+1)))*(IF(K173="",1,IF(K173&gt;0,(K173/100)+1,(100/((-1)*K173))+1)))*(IF(L173="",1,IF(L173&gt;0,(L173/100)+1,(100/((-1)*L173))+1))))-1)*(100))))/100)*10)))</f>
        <v/>
      </c>
      <c r="P173" s="4"/>
      <c r="Q173" s="4"/>
    </row>
    <row r="174">
      <c r="A174" s="3" t="s">
        <v>37</v>
      </c>
      <c r="B174" s="2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2"/>
      <c r="N174" s="4"/>
      <c r="O174" s="4"/>
      <c r="P174" s="4"/>
      <c r="Q174" s="4"/>
    </row>
    <row r="175">
      <c r="A175" s="3" t="s">
        <v>48</v>
      </c>
      <c r="B175" s="2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2"/>
      <c r="N175" s="4"/>
      <c r="O175" s="3" t="s">
        <v>56</v>
      </c>
      <c r="P175" s="3" t="s">
        <v>57</v>
      </c>
      <c r="Q175" s="4"/>
    </row>
    <row r="176">
      <c r="A176" s="3" t="s">
        <v>59</v>
      </c>
      <c r="B176" s="2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2"/>
      <c r="N176" s="3" t="s">
        <v>65</v>
      </c>
      <c r="O176" s="12" t="str">
        <f>IFERROR(__xludf.DUMMYFUNCTION("IF(OR(COUNTA(C173:L173) = 0, COUNTA(C176:L176) = 0), """", IFERROR(TEXTJOIN("", "", TRUE, FILTER(C170:L170, (C176:L176 = ""W"") * (C173:L173 = MAX(FILTER(C173:L173, C176:L176 = ""W""))))), """"))"),"")</f>
        <v/>
      </c>
      <c r="P176" s="12" t="str">
        <f>IFERROR(__xludf.DUMMYFUNCTION("IF(COUNTA(C181:L181) = 0, """", IFERROR(TEXTJOIN("", "", TRUE, FILTER(C170:L170, C181:L181 = MAX(C181:L181))), """"))"),"")</f>
        <v/>
      </c>
      <c r="Q176" s="4"/>
    </row>
    <row r="177">
      <c r="A177" s="1" t="s">
        <v>81</v>
      </c>
      <c r="B177" s="2"/>
      <c r="C177" s="4" t="str">
        <f t="shared" ref="C177:L177" si="53">IF(OR(C173="",C176=""),"",C164+COUNTIF(C176,"W"))</f>
        <v/>
      </c>
      <c r="D177" s="4" t="str">
        <f t="shared" si="53"/>
        <v/>
      </c>
      <c r="E177" s="4" t="str">
        <f t="shared" si="53"/>
        <v/>
      </c>
      <c r="F177" s="4" t="str">
        <f t="shared" si="53"/>
        <v/>
      </c>
      <c r="G177" s="4" t="str">
        <f t="shared" si="53"/>
        <v/>
      </c>
      <c r="H177" s="4" t="str">
        <f t="shared" si="53"/>
        <v/>
      </c>
      <c r="I177" s="4" t="str">
        <f t="shared" si="53"/>
        <v/>
      </c>
      <c r="J177" s="4" t="str">
        <f t="shared" si="53"/>
        <v/>
      </c>
      <c r="K177" s="4" t="str">
        <f t="shared" si="53"/>
        <v/>
      </c>
      <c r="L177" s="4" t="str">
        <f t="shared" si="53"/>
        <v/>
      </c>
      <c r="M177" s="2"/>
      <c r="N177" s="3" t="s">
        <v>82</v>
      </c>
      <c r="O177" s="4" t="str">
        <f>IFERROR(__xludf.DUMMYFUNCTION("IF(OR(COUNTA(C173:L173) = 0, COUNTA(C176:L176) = 0), """", IFERROR(TEXTJOIN("", "", TRUE, FILTER(C170:L170, (C176:L176 = ""L"") * (C173:L173 = MIN(FILTER(C173:L173, C176:L176 = ""L""))))), """"))"),"")</f>
        <v/>
      </c>
      <c r="P177" s="12" t="str">
        <f>IFERROR(__xludf.DUMMYFUNCTION("IF(COUNTA(C181:L181) = 0, """", IFERROR(TEXTJOIN("", "", TRUE, FILTER(C170:L170, C181:L181 = MIN(C181:L181))), """"))"),"")</f>
        <v/>
      </c>
      <c r="Q177" s="4"/>
    </row>
    <row r="178">
      <c r="A178" s="1" t="s">
        <v>83</v>
      </c>
      <c r="B178" s="2"/>
      <c r="C178" s="27" t="str">
        <f t="shared" ref="C178:L178" si="54">IF(OR(C173="",C176=""),"",C165+COUNTIF(C176,"L"))</f>
        <v/>
      </c>
      <c r="D178" s="27" t="str">
        <f t="shared" si="54"/>
        <v/>
      </c>
      <c r="E178" s="27" t="str">
        <f t="shared" si="54"/>
        <v/>
      </c>
      <c r="F178" s="27" t="str">
        <f t="shared" si="54"/>
        <v/>
      </c>
      <c r="G178" s="27" t="str">
        <f t="shared" si="54"/>
        <v/>
      </c>
      <c r="H178" s="27" t="str">
        <f t="shared" si="54"/>
        <v/>
      </c>
      <c r="I178" s="27" t="str">
        <f t="shared" si="54"/>
        <v/>
      </c>
      <c r="J178" s="27" t="str">
        <f t="shared" si="54"/>
        <v/>
      </c>
      <c r="K178" s="27" t="str">
        <f t="shared" si="54"/>
        <v/>
      </c>
      <c r="L178" s="27" t="str">
        <f t="shared" si="54"/>
        <v/>
      </c>
      <c r="M178" s="2"/>
      <c r="N178" s="3" t="s">
        <v>84</v>
      </c>
      <c r="O178" s="12" t="str">
        <f>IFERROR(__xludf.DUMMYFUNCTION("IF(COUNTA(C173:L173) = 0, """", IFERROR(TEXTJOIN("", "", TRUE, FILTER(C170:L170, C173:L173 = MAX(C173:L173))), """"))"),"")</f>
        <v/>
      </c>
      <c r="P178" s="4" t="str">
        <f>IFERROR(__xludf.DUMMYFUNCTION("IF(COUNTA(C173:L173) = 0, """", IFERROR(TEXTJOIN("", "", TRUE, FILTER(C170:L170, C180:L180 = MAX(C180:L180))), """"))"),"")</f>
        <v/>
      </c>
      <c r="Q178" s="4"/>
    </row>
    <row r="179">
      <c r="A179" s="3" t="s">
        <v>85</v>
      </c>
      <c r="B179" s="2"/>
      <c r="C179" s="24" t="str">
        <f t="shared" ref="C179:L179" si="55">IF(OR(C173="",C176=""),"",(C177/(C177+C178)))</f>
        <v/>
      </c>
      <c r="D179" s="24" t="str">
        <f t="shared" si="55"/>
        <v/>
      </c>
      <c r="E179" s="24" t="str">
        <f t="shared" si="55"/>
        <v/>
      </c>
      <c r="F179" s="24" t="str">
        <f t="shared" si="55"/>
        <v/>
      </c>
      <c r="G179" s="24" t="str">
        <f t="shared" si="55"/>
        <v/>
      </c>
      <c r="H179" s="24" t="str">
        <f t="shared" si="55"/>
        <v/>
      </c>
      <c r="I179" s="24" t="str">
        <f t="shared" si="55"/>
        <v/>
      </c>
      <c r="J179" s="24" t="str">
        <f t="shared" si="55"/>
        <v/>
      </c>
      <c r="K179" s="24" t="str">
        <f t="shared" si="55"/>
        <v/>
      </c>
      <c r="L179" s="24" t="str">
        <f t="shared" si="55"/>
        <v/>
      </c>
      <c r="M179" s="14"/>
      <c r="N179" s="3" t="s">
        <v>86</v>
      </c>
      <c r="O179" s="4" t="str">
        <f>IFERROR(__xludf.DUMMYFUNCTION("IF(COUNTA(C173:L173) = 0, """", IFERROR(TEXTJOIN("", "", TRUE, FILTER(C170:L170, C173:L173 = MIN(C173:L173))), """"))"),"")</f>
        <v/>
      </c>
      <c r="P179" s="4" t="str">
        <f>IFERROR(__xludf.DUMMYFUNCTION("IF(COUNTA(C173:L173) = 0, """", IFERROR(TEXTJOIN("", "", TRUE, FILTER(C170:L170, C180:L180 = MIN(C180:L180))), """"))"),"")</f>
        <v/>
      </c>
      <c r="Q179" s="4"/>
    </row>
    <row r="180">
      <c r="A180" s="3" t="s">
        <v>87</v>
      </c>
      <c r="B180" s="2"/>
      <c r="C180" s="25" t="str">
        <f t="shared" ref="C180:L180" si="56">IF(C173="","",IF(((IF(C173 &lt;0,((-100/C173)+1),((C173/100)+1))+(IF(C167&lt;0,((-100/C167)+1),((C167/100)+1)))*(C164+C165))/(C164+C165+1))&lt;2,(-100/(((IF(C173 &lt;0,((-100/C173)+1),((C173/100)+1))+(IF(C167&lt;0,((-100/C167)+1),((C167/100)+1)))*(C164+C165))/(C164+C165+1))-1)),(((IF(C173 &lt;0,((-100/C173)+1),((C173/100)+1))+(IF(C167&lt;0,((-100/C167)+1),((C167/100)+1)))*(C164+C165))/(C164+C165+1))-1)*100))</f>
        <v/>
      </c>
      <c r="D180" s="25" t="str">
        <f t="shared" si="56"/>
        <v/>
      </c>
      <c r="E180" s="25" t="str">
        <f t="shared" si="56"/>
        <v/>
      </c>
      <c r="F180" s="25" t="str">
        <f t="shared" si="56"/>
        <v/>
      </c>
      <c r="G180" s="25" t="str">
        <f t="shared" si="56"/>
        <v/>
      </c>
      <c r="H180" s="25" t="str">
        <f t="shared" si="56"/>
        <v/>
      </c>
      <c r="I180" s="25" t="str">
        <f t="shared" si="56"/>
        <v/>
      </c>
      <c r="J180" s="25" t="str">
        <f t="shared" si="56"/>
        <v/>
      </c>
      <c r="K180" s="25" t="str">
        <f t="shared" si="56"/>
        <v/>
      </c>
      <c r="L180" s="25" t="str">
        <f t="shared" si="56"/>
        <v/>
      </c>
      <c r="M180" s="14"/>
      <c r="N180" s="4"/>
      <c r="O180" s="12"/>
      <c r="P180" s="12"/>
      <c r="Q180" s="4"/>
    </row>
    <row r="181">
      <c r="A181" s="16" t="s">
        <v>88</v>
      </c>
      <c r="B181" s="2"/>
      <c r="C181" s="26" t="str">
        <f>IFERROR(__xludf.DUMMYFUNCTION("IF(OR(C173="""",C176=""""),"""",IF(REGEXMATCH(C176,""W""),IF(C173&lt;0,((-100/C173))*10+C168,((C173/100)*10+C168)),-10+C168))"),"")</f>
        <v/>
      </c>
      <c r="D181" s="26" t="str">
        <f>IFERROR(__xludf.DUMMYFUNCTION("IF(OR(D173="""",D176=""""),"""",IF(REGEXMATCH(D176,""W""),IF(D173&lt;0,((-100/D173))*10+D168,((D173/100)*10+D168)),-10+D168))"),"")</f>
        <v/>
      </c>
      <c r="E181" s="26" t="str">
        <f>IFERROR(__xludf.DUMMYFUNCTION("IF(OR(E173="""",E176=""""),"""",IF(REGEXMATCH(E176,""W""),IF(E173&lt;0,((-100/E173))*10+E168,((E173/100)*10+E168)),-10+E168))"),"")</f>
        <v/>
      </c>
      <c r="F181" s="26" t="str">
        <f>IFERROR(__xludf.DUMMYFUNCTION("IF(OR(F173="""",F176=""""),"""",IF(REGEXMATCH(F176,""W""),IF(F173&lt;0,((-100/F173))*10+F168,((F173/100)*10+F168)),-10+F168))"),"")</f>
        <v/>
      </c>
      <c r="G181" s="26" t="str">
        <f>IFERROR(__xludf.DUMMYFUNCTION("IF(OR(G173="""",G176=""""),"""",IF(REGEXMATCH(G176,""W""),IF(G173&lt;0,((-100/G173))*10+G168,((G173/100)*10+G168)),-10+G168))"),"")</f>
        <v/>
      </c>
      <c r="H181" s="26" t="str">
        <f>IFERROR(__xludf.DUMMYFUNCTION("IF(OR(H173="""",H176=""""),"""",IF(REGEXMATCH(H176,""W""),IF(H173&lt;0,((-100/H173))*10+H168,((H173/100)*10+H168)),-10+H168))"),"")</f>
        <v/>
      </c>
      <c r="I181" s="26" t="str">
        <f>IFERROR(__xludf.DUMMYFUNCTION("IF(OR(I173="""",I176=""""),"""",IF(REGEXMATCH(I176,""W""),IF(I173&lt;0,((-100/I173))*10+I168,((I173/100)*10+I168)),-10+I168))"),"")</f>
        <v/>
      </c>
      <c r="J181" s="26" t="str">
        <f>IFERROR(__xludf.DUMMYFUNCTION("IF(OR(J173="""",J176=""""),"""",IF(REGEXMATCH(J176,""W""),IF(J173&lt;0,((-100/J173))*10+J168,((J173/100)*10+J168)),-10+J168))"),"")</f>
        <v/>
      </c>
      <c r="K181" s="26" t="str">
        <f>IFERROR(__xludf.DUMMYFUNCTION("IF(OR(K173="""",K176=""""),"""",IF(REGEXMATCH(K176,""W""),IF(K173&lt;0,((-100/K173))*10+K168,((K173/100)*10+K168)),-10+K168))"),"")</f>
        <v/>
      </c>
      <c r="L181" s="26" t="str">
        <f>IFERROR(__xludf.DUMMYFUNCTION("IF(OR(L173="""",L176=""""),"""",IF(REGEXMATCH(L176,""W""),IF(L173&lt;0,((-100/L173))*10+L168,((L173/100)*10+L168)),-10+L168))"),"")</f>
        <v/>
      </c>
      <c r="M181" s="14"/>
      <c r="N181" s="16" t="s">
        <v>89</v>
      </c>
      <c r="O181" s="10" t="str">
        <f>IFERROR(__xludf.DUMMYFUNCTION("IF(AND(C181="""",AND(D181="""",AND(E181="""",AND(F181="""",AND(G181="""",AND(H181="""",AND(I181="""",AND(J181="""",AND(K181="""",L181=""""))))))))),"""",(IF(C176="""",0,IF(REGEXMATCH(C176,""W""),IF(C173&lt;0,((-100/C173))*10,((C173/100)*10)),-10))+IF(D176="""&amp;""",0,IF(REGEXMATCH(D176,""W""),IF(D173&lt;0,((-100/D173))*10,((D173/100)*10)),-10))+IF(E176="""",0,IF(REGEXMATCH(E176,""W""),IF(E173&lt;0,((-100/E173))*10,((E173/100)*10)),-10))+IF(F176="""",0,IF(REGEXMATCH(F176,""W""),IF(F173&lt;0,((-100/F173))*10,((F173/100)*10)"&amp;"),-10))+IF(G176="""",0,IF(REGEXMATCH(G176,""W""),IF(G173&lt;0,((-100/G173))*10,((G173/100)*10)),-10))+IF(H176="""",0,IF(REGEXMATCH(H176,""W""),IF(H173&lt;0,((-100/H173))*10,((H173/100)*10)),-10))+IF(I176="""",0,IF(REGEXMATCH(I176,""W""),IF(I173&lt;0,((-100/I173))*"&amp;"10,((I173/100)*10)),-10))+IF(J176="""",0,IF(REGEXMATCH(J176,""W""),IF(J173&lt;0,((-100/J173))*10,((J173/100)*10)),-10))+IF(K176="""",0,IF(REGEXMATCH(K176,""W""),IF(K173&lt;0,((-100/K173))*10,((K173/100)*10)),-10))+IF(L176="""",0,IF(REGEXMATCH(L176,""W""),IF(L17"&amp;"3&lt;0,((-100/L173))*10,((L173/100)*10)),-10))))"),"")</f>
        <v/>
      </c>
      <c r="P181" s="10" t="str">
        <f>IFERROR(__xludf.DUMMYFUNCTION("IF(AND(C181="""",AND(D181="""",AND(E181="""",AND(F181="""",AND(G181="""",AND(H181="""",AND(I181="""",AND(J181="""",AND(K181="""",L181=""""))))))))),"""",(P168+IF(C176="""",0,IF(REGEXMATCH(C176,""W""),IF(C173&lt;0,((-100/C173))*10,((C173/100)*10)),-10))+IF(D1"&amp;"76="""",0,IF(REGEXMATCH(D176,""W""),IF(D173&lt;0,((-100/D173))*10,((D173/100)*10)),-10))+IF(E176="""",0,IF(REGEXMATCH(E176,""W""),IF(E173&lt;0,((-100/E173))*10,((E173/100)*10)),-10))+IF(F176="""",0,IF(REGEXMATCH(F176,""W""),IF(F173&lt;0,((-100/F173))*10,((F173/100"&amp;")*10)),-10))+IF(G176="""",0,IF(REGEXMATCH(G176,""W""),IF(G173&lt;0,((-100/G173))*10,((G173/100)*10)),-10))+IF(H176="""",0,IF(REGEXMATCH(H176,""W""),IF(H173&lt;0,((-100/H173))*10,((H173/100)*10)),-10))+IF(I176="""",0,IF(REGEXMATCH(I176,""W""),IF(I173&lt;0,((-100/I1"&amp;"73))*10,((I173/100)*10)),-10))+IF(J176="""",0,IF(REGEXMATCH(J176,""W""),IF(J173&lt;0,((-100/J173))*10,((J173/100)*10)),-10))+IF(K176="""",0,IF(REGEXMATCH(K176,""W""),IF(K173&lt;0,((-100/K173))*10,((K173/100)*10)),-10))+IF(L176="""",0,IF(REGEXMATCH(L176,""W""),I"&amp;"F(L173&lt;0,((-100/L173))*10,((L173/100)*10)),-10))))"),"")</f>
        <v/>
      </c>
      <c r="Q181" s="4"/>
    </row>
    <row r="182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</row>
    <row r="183">
      <c r="A183" s="1" t="s">
        <v>502</v>
      </c>
      <c r="B183" s="2"/>
      <c r="C183" s="3" t="s">
        <v>1</v>
      </c>
      <c r="D183" s="3" t="s">
        <v>2</v>
      </c>
      <c r="E183" s="3" t="s">
        <v>3</v>
      </c>
      <c r="F183" s="3" t="s">
        <v>4</v>
      </c>
      <c r="G183" s="3" t="s">
        <v>5</v>
      </c>
      <c r="H183" s="3" t="s">
        <v>6</v>
      </c>
      <c r="I183" s="3" t="s">
        <v>7</v>
      </c>
      <c r="J183" s="3" t="s">
        <v>8</v>
      </c>
      <c r="K183" s="3" t="s">
        <v>9</v>
      </c>
      <c r="L183" s="3" t="s">
        <v>10</v>
      </c>
      <c r="M183" s="2"/>
      <c r="N183" s="4"/>
      <c r="O183" s="3" t="s">
        <v>11</v>
      </c>
      <c r="P183" s="4"/>
      <c r="Q183" s="4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</row>
    <row r="185">
      <c r="A185" s="3" t="s">
        <v>12</v>
      </c>
      <c r="B185" s="2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2"/>
      <c r="N185" s="3" t="s">
        <v>13</v>
      </c>
      <c r="O185" s="7" t="str">
        <f>IF(AND(C186="",AND(D186="",AND(E186="",AND(F186="",AND(G186="",AND(H186="",AND(I186="",AND(J186="",AND(K186="",L186=""))))))))),"",IF(((IF(C186="",1,IF(C186&gt;0,(C186/100)+1,(100/((-1)*C186))+1)))*(IF(D186="",1,IF(D186&gt;0,(D186/100)+1,(100/((-1)*D186))+1)))*(IF(E186="",1,IF(E186&gt;0,(E186/100)+1,(100/((-1)*E186))+1)))*(IF(F186="",1,IF(F186&gt;0,(F186/100)+1,(100/((-1)*F186))+1)))*(IF(G186="",1,IF(G186&gt;0,(G186/100)+1,(100/((-1)*G186))+1)))*(IF(H186="",1,IF(H186&gt;0,(H186/100)+1,(100/((-1)*H186))+1)))*(IF(I186="",1,IF(I186&gt;0,(I186/100)+1,(100/((-1)*I186))+1)))*(IF(J186="",1,IF(J186&gt;0,(J186/100)+1,(100/((-1)*J186))+1)))*(IF(K186="",1,IF(K186&gt;0,(K186/100)+1,(100/((-1)*K186))+1)))*(IF(L186="",1,IF(L186&gt;0,(L186/100)+1,(100/((-1)*L186))+1))))&lt;2,((-100)/(((IF(C186="",1,IF(C186&gt;0,(C186/100)+1,(100/((-1)*C186))+1)))*(IF(D186="",1,IF(D186&gt;0,(D186/100)+1,(100/((-1)*D186))+1)))*(IF(E186="",1,IF(E186&gt;0,(E186/100)+1,(100/((-1)*E186))+1)))*(IF(F186="",1,IF(F186&gt;0,(F186/100)+1,(100/((-1)*F186))+1)))*(IF(G186="",1,IF(G186&gt;0,(G186/100)+1,(100/((-1)*G186))+1)))*(IF(H186="",1,IF(H186&gt;0,(H186/100)+1,(100/((-1)*H186))+1)))*(IF(I186="",1,IF(I186&gt;0,(I186/100)+1,(100/((-1)*I186))+1)))*(IF(J186="",1,IF(J186&gt;0,(J186/100)+1,(100/((-1)*J186))+1)))*(IF(K186="",1,IF(K186&gt;0,(K186/100)+1,(100/((-1)*K186))+1)))*(IF(L186="",1,IF(L186&gt;0,(L186/100)+1,(100/((-1)*L186))+1))))-1)),((((IF(C186="",1,IF(C186&gt;0,(C186/100)+1,(100/((-1)*C186))+1)))*(IF(D186="",1,IF(D186&gt;0,(D186/100)+1,(100/((-1)*D186))+1)))*(IF(E186="",1,IF(E186&gt;0,(E186/100)+1,(100/((-1)*E186))+1)))*(IF(F186="",1,IF(F186&gt;0,(F186/100)+1,(100/((-1)*F186))+1)))*(IF(G186="",1,IF(G186&gt;0,(G186/100)+1,(100/((-1)*G186))+1)))*(IF(H186="",1,IF(H186&gt;0,(H186/100)+1,(100/((-1)*H186))+1)))*(IF(I186="",1,IF(I186&gt;0,(I186/100)+1,(100/((-1)*I186))+1)))*(IF(J186="",1,IF(J186&gt;0,(J186/100)+1,(100/((-1)*J186))+1)))*(IF(K186="",1,IF(K186&gt;0,(K186/100)+1,(100/((-1)*K186))+1)))*(IF(L186="",1,IF(L186&gt;0,(L186/100)+1,(100/((-1)*L186))+1))))-1)*(100))))</f>
        <v/>
      </c>
      <c r="P185" s="4"/>
      <c r="Q185" s="8" t="s">
        <v>35</v>
      </c>
    </row>
    <row r="186">
      <c r="A186" s="3" t="s">
        <v>13</v>
      </c>
      <c r="B186" s="2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2">
        <v>14.0</v>
      </c>
      <c r="N186" s="3" t="s">
        <v>36</v>
      </c>
      <c r="O186" s="10" t="str">
        <f>IF(AND(C186="",AND(D186="",AND(E186="",AND(F186="",AND(G186="",AND(H186="",AND(I186="",AND(J186="",AND(K186="",L186=""))))))))),"",10+IF((IF(((IF(C186="",1,IF(C186&gt;0,(C186/100)+1,(100/((-1)*C186))+1)))*(IF(D186="",1,IF(D186&gt;0,(D186/100)+1,(100/((-1)*D186))+1)))*(IF(E186="",1,IF(E186&gt;0,(E186/100)+1,(100/((-1)*E186))+1)))*(IF(F186="",1,IF(F186&gt;0,(F186/100)+1,(100/((-1)*F186))+1)))*(IF(G186="",1,IF(G186&gt;0,(G186/100)+1,(100/((-1)*G186))+1)))*(IF(H186="",1,IF(H186&gt;0,(H186/100)+1,(100/((-1)*H186))+1)))*(IF(I186="",1,IF(I186&gt;0,(I186/100)+1,(100/((-1)*I186))+1)))*(IF(J186="",1,IF(J186&gt;0,(J186/100)+1,(100/((-1)*J186))+1)))*(IF(K186="",1,IF(K186&gt;0,(K186/100)+1,(100/((-1)*K186))+1)))*(IF(L186="",1,IF(L186&gt;0,(L186/100)+1,(100/((-1)*L186))+1))))&lt;2,((-100)/(((IF(C186="",1,IF(C186&gt;0,(C186/100)+1,(100/((-1)*C186))+1)))*(IF(D186="",1,IF(D186&gt;0,(D186/100)+1,(100/((-1)*D186))+1)))*(IF(E186="",1,IF(E186&gt;0,(E186/100)+1,(100/((-1)*E186))+1)))*(IF(F186="",1,IF(F186&gt;0,(F186/100)+1,(100/((-1)*F186))+1)))*(IF(G186="",1,IF(G186&gt;0,(G186/100)+1,(100/((-1)*G186))+1)))*(IF(H186="",1,IF(H186&gt;0,(H186/100)+1,(100/((-1)*H186))+1)))*(IF(I186="",1,IF(I186&gt;0,(I186/100)+1,(100/((-1)*I186))+1)))*(IF(J186="",1,IF(J186&gt;0,(J186/100)+1,(100/((-1)*J186))+1)))*(IF(K186="",1,IF(K186&gt;0,(K186/100)+1,(100/((-1)*K186))+1)))*(IF(L186="",1,IF(L186&gt;0,(L186/100)+1,(100/((-1)*L186))+1))))-1)),((((IF(C186="",1,IF(C186&gt;0,(C186/100)+1,(100/((-1)*C186))+1)))*(IF(D186="",1,IF(D186&gt;0,(D186/100)+1,(100/((-1)*D186))+1)))*(IF(E186="",1,IF(E186&gt;0,(E186/100)+1,(100/((-1)*E186))+1)))*(IF(F186="",1,IF(F186&gt;0,(F186/100)+1,(100/((-1)*F186))+1)))*(IF(G186="",1,IF(G186&gt;0,(G186/100)+1,(100/((-1)*G186))+1)))*(IF(H186="",1,IF(H186&gt;0,(H186/100)+1,(100/((-1)*H186))+1)))*(IF(I186="",1,IF(I186&gt;0,(I186/100)+1,(100/((-1)*I186))+1)))*(IF(J186="",1,IF(J186&gt;0,(J186/100)+1,(100/((-1)*J186))+1)))*(IF(K186="",1,IF(K186&gt;0,(K186/100)+1,(100/((-1)*K186))+1)))*(IF(L186="",1,IF(L186&gt;0,(L186/100)+1,(100/((-1)*L186))+1))))-1)*(100))))&lt;0,(((-100)/((IF(((IF(C186="",1,IF(C186&gt;0,(C186/100)+1,(100/((-1)*C186))+1)))*(IF(D186="",1,IF(D186&gt;0,(D186/100)+1,(100/((-1)*D186))+1)))*(IF(E186="",1,IF(E186&gt;0,(E186/100)+1,(100/((-1)*E186))+1)))*(IF(F186="",1,IF(F186&gt;0,(F186/100)+1,(100/((-1)*F186))+1)))*(IF(G186="",1,IF(G186&gt;0,(G186/100)+1,(100/((-1)*G186))+1)))*(IF(H186="",1,IF(H186&gt;0,(H186/100)+1,(100/((-1)*H186))+1)))*(IF(I186="",1,IF(I186&gt;0,(I186/100)+1,(100/((-1)*I186))+1)))*(IF(J186="",1,IF(J186&gt;0,(J186/100)+1,(100/((-1)*J186))+1)))*(IF(K186="",1,IF(K186&gt;0,(K186/100)+1,(100/((-1)*K186))+1)))*(IF(L186="",1,IF(L186&gt;0,(L186/100)+1,(100/((-1)*L186))+1))))&lt;2,((-100)/(((IF(C186="",1,IF(C186&gt;0,(C186/100)+1,(100/((-1)*C186))+1)))*(IF(D186="",1,IF(D186&gt;0,(D186/100)+1,(100/((-1)*D186))+1)))*(IF(E186="",1,IF(E186&gt;0,(E186/100)+1,(100/((-1)*E186))+1)))*(IF(F186="",1,IF(F186&gt;0,(F186/100)+1,(100/((-1)*F186))+1)))*(IF(G186="",1,IF(G186&gt;0,(G186/100)+1,(100/((-1)*G186))+1)))*(IF(H186="",1,IF(H186&gt;0,(H186/100)+1,(100/((-1)*H186))+1)))*(IF(I186="",1,IF(I186&gt;0,(I186/100)+1,(100/((-1)*I186))+1)))*(IF(J186="",1,IF(J186&gt;0,(J186/100)+1,(100/((-1)*J186))+1)))*(IF(K186="",1,IF(K186&gt;0,(K186/100)+1,(100/((-1)*K186))+1)))*(IF(L186="",1,IF(L186&gt;0,(L186/100)+1,(100/((-1)*L186))+1))))-1)),((((IF(C186="",1,IF(C186&gt;0,(C186/100)+1,(100/((-1)*C186))+1)))*(IF(D186="",1,IF(D186&gt;0,(D186/100)+1,(100/((-1)*D186))+1)))*(IF(E186="",1,IF(E186&gt;0,(E186/100)+1,(100/((-1)*E186))+1)))*(IF(F186="",1,IF(F186&gt;0,(F186/100)+1,(100/((-1)*F186))+1)))*(IF(G186="",1,IF(G186&gt;0,(G186/100)+1,(100/((-1)*G186))+1)))*(IF(H186="",1,IF(H186&gt;0,(H186/100)+1,(100/((-1)*H186))+1)))*(IF(I186="",1,IF(I186&gt;0,(I186/100)+1,(100/((-1)*I186))+1)))*(IF(J186="",1,IF(J186&gt;0,(J186/100)+1,(100/((-1)*J186))+1)))*(IF(K186="",1,IF(K186&gt;0,(K186/100)+1,(100/((-1)*K186))+1)))*(IF(L186="",1,IF(L186&gt;0,(L186/100)+1,(100/((-1)*L186))+1))))-1)*(100))))))*10),(((IF(((IF(C186="",1,IF(C186&gt;0,(C186/100)+1,(100/((-1)*C186))+1)))*(IF(D186="",1,IF(D186&gt;0,(D186/100)+1,(100/((-1)*D186))+1)))*(IF(E186="",1,IF(E186&gt;0,(E186/100)+1,(100/((-1)*E186))+1)))*(IF(F186="",1,IF(F186&gt;0,(F186/100)+1,(100/((-1)*F186))+1)))*(IF(G186="",1,IF(G186&gt;0,(G186/100)+1,(100/((-1)*G186))+1)))*(IF(H186="",1,IF(H186&gt;0,(H186/100)+1,(100/((-1)*H186))+1)))*(IF(I186="",1,IF(I186&gt;0,(I186/100)+1,(100/((-1)*I186))+1)))*(IF(J186="",1,IF(J186&gt;0,(J186/100)+1,(100/((-1)*J186))+1)))*(IF(K186="",1,IF(K186&gt;0,(K186/100)+1,(100/((-1)*K186))+1)))*(IF(L186="",1,IF(L186&gt;0,(L186/100)+1,(100/((-1)*L186))+1))))&lt;2,((-100)/(((IF(C186="",1,IF(C186&gt;0,(C186/100)+1,(100/((-1)*C186))+1)))*(IF(D186="",1,IF(D186&gt;0,(D186/100)+1,(100/((-1)*D186))+1)))*(IF(E186="",1,IF(E186&gt;0,(E186/100)+1,(100/((-1)*E186))+1)))*(IF(F186="",1,IF(F186&gt;0,(F186/100)+1,(100/((-1)*F186))+1)))*(IF(G186="",1,IF(G186&gt;0,(G186/100)+1,(100/((-1)*G186))+1)))*(IF(H186="",1,IF(H186&gt;0,(H186/100)+1,(100/((-1)*H186))+1)))*(IF(I186="",1,IF(I186&gt;0,(I186/100)+1,(100/((-1)*I186))+1)))*(IF(J186="",1,IF(J186&gt;0,(J186/100)+1,(100/((-1)*J186))+1)))*(IF(K186="",1,IF(K186&gt;0,(K186/100)+1,(100/((-1)*K186))+1)))*(IF(L186="",1,IF(L186&gt;0,(L186/100)+1,(100/((-1)*L186))+1))))-1)),((((IF(C186="",1,IF(C186&gt;0,(C186/100)+1,(100/((-1)*C186))+1)))*(IF(D186="",1,IF(D186&gt;0,(D186/100)+1,(100/((-1)*D186))+1)))*(IF(E186="",1,IF(E186&gt;0,(E186/100)+1,(100/((-1)*E186))+1)))*(IF(F186="",1,IF(F186&gt;0,(F186/100)+1,(100/((-1)*F186))+1)))*(IF(G186="",1,IF(G186&gt;0,(G186/100)+1,(100/((-1)*G186))+1)))*(IF(H186="",1,IF(H186&gt;0,(H186/100)+1,(100/((-1)*H186))+1)))*(IF(I186="",1,IF(I186&gt;0,(I186/100)+1,(100/((-1)*I186))+1)))*(IF(J186="",1,IF(J186&gt;0,(J186/100)+1,(100/((-1)*J186))+1)))*(IF(K186="",1,IF(K186&gt;0,(K186/100)+1,(100/((-1)*K186))+1)))*(IF(L186="",1,IF(L186&gt;0,(L186/100)+1,(100/((-1)*L186))+1))))-1)*(100))))/100)*10)))</f>
        <v/>
      </c>
      <c r="P186" s="4"/>
      <c r="Q186" s="4"/>
    </row>
    <row r="187">
      <c r="A187" s="3" t="s">
        <v>37</v>
      </c>
      <c r="B187" s="2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2"/>
      <c r="N187" s="4"/>
      <c r="O187" s="4"/>
      <c r="P187" s="4"/>
      <c r="Q187" s="4"/>
    </row>
    <row r="188">
      <c r="A188" s="3" t="s">
        <v>48</v>
      </c>
      <c r="B188" s="2"/>
      <c r="C188" s="5"/>
      <c r="D188" s="5"/>
      <c r="E188" s="5"/>
      <c r="F188" s="4"/>
      <c r="G188" s="11"/>
      <c r="H188" s="5"/>
      <c r="I188" s="5"/>
      <c r="J188" s="5"/>
      <c r="K188" s="5"/>
      <c r="L188" s="5"/>
      <c r="M188" s="2"/>
      <c r="N188" s="4"/>
      <c r="O188" s="3" t="s">
        <v>56</v>
      </c>
      <c r="P188" s="3" t="s">
        <v>57</v>
      </c>
      <c r="Q188" s="4"/>
    </row>
    <row r="189">
      <c r="A189" s="3" t="s">
        <v>59</v>
      </c>
      <c r="B189" s="2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2"/>
      <c r="N189" s="3" t="s">
        <v>65</v>
      </c>
      <c r="O189" s="12" t="str">
        <f>IFERROR(__xludf.DUMMYFUNCTION("IF(OR(COUNTA(C186:L186) = 0, COUNTA(C189:L189) = 0), """", IFERROR(TEXTJOIN("", "", TRUE, FILTER(C183:L183, (C189:L189 = ""W"") * (C186:L186 = MAX(FILTER(C186:L186, C189:L189 = ""W""))))), """"))"),"")</f>
        <v/>
      </c>
      <c r="P189" s="12" t="str">
        <f>IFERROR(__xludf.DUMMYFUNCTION("IF(COUNTA(C194:L194) = 0, """", IFERROR(TEXTJOIN("", "", TRUE, FILTER(C183:L183, C194:L194 = MAX(C194:L194))), """"))"),"")</f>
        <v/>
      </c>
      <c r="Q189" s="4"/>
    </row>
    <row r="190">
      <c r="A190" s="1" t="s">
        <v>81</v>
      </c>
      <c r="B190" s="2"/>
      <c r="C190" s="4" t="str">
        <f t="shared" ref="C190:L190" si="57">IF(OR(C186="",C189=""),"",C177+COUNTIF(C189,"W"))</f>
        <v/>
      </c>
      <c r="D190" s="4" t="str">
        <f t="shared" si="57"/>
        <v/>
      </c>
      <c r="E190" s="4" t="str">
        <f t="shared" si="57"/>
        <v/>
      </c>
      <c r="F190" s="4" t="str">
        <f t="shared" si="57"/>
        <v/>
      </c>
      <c r="G190" s="4" t="str">
        <f t="shared" si="57"/>
        <v/>
      </c>
      <c r="H190" s="4" t="str">
        <f t="shared" si="57"/>
        <v/>
      </c>
      <c r="I190" s="4" t="str">
        <f t="shared" si="57"/>
        <v/>
      </c>
      <c r="J190" s="4" t="str">
        <f t="shared" si="57"/>
        <v/>
      </c>
      <c r="K190" s="4" t="str">
        <f t="shared" si="57"/>
        <v/>
      </c>
      <c r="L190" s="4" t="str">
        <f t="shared" si="57"/>
        <v/>
      </c>
      <c r="M190" s="2"/>
      <c r="N190" s="3" t="s">
        <v>82</v>
      </c>
      <c r="O190" s="4" t="str">
        <f>IFERROR(__xludf.DUMMYFUNCTION("IF(OR(COUNTA(C186:L186) = 0, COUNTA(C189:L189) = 0), """", IFERROR(TEXTJOIN("", "", TRUE, FILTER(C183:L183, (C189:L189 = ""L"") * (C186:L186 = MIN(FILTER(C186:L186, C189:L189 = ""L""))))), """"))"),"")</f>
        <v/>
      </c>
      <c r="P190" s="12" t="str">
        <f>IFERROR(__xludf.DUMMYFUNCTION("IF(COUNTA(C194:L194) = 0, """", IFERROR(TEXTJOIN("", "", TRUE, FILTER(C183:L183, C194:L194 = MIN(C194:L194))), """"))"),"")</f>
        <v/>
      </c>
      <c r="Q190" s="4"/>
    </row>
    <row r="191">
      <c r="A191" s="1" t="s">
        <v>83</v>
      </c>
      <c r="B191" s="2"/>
      <c r="C191" s="27" t="str">
        <f t="shared" ref="C191:L191" si="58">IF(OR(C186="",C189=""),"",C178+COUNTIF(C189,"L"))</f>
        <v/>
      </c>
      <c r="D191" s="27" t="str">
        <f t="shared" si="58"/>
        <v/>
      </c>
      <c r="E191" s="27" t="str">
        <f t="shared" si="58"/>
        <v/>
      </c>
      <c r="F191" s="27" t="str">
        <f t="shared" si="58"/>
        <v/>
      </c>
      <c r="G191" s="27" t="str">
        <f t="shared" si="58"/>
        <v/>
      </c>
      <c r="H191" s="27" t="str">
        <f t="shared" si="58"/>
        <v/>
      </c>
      <c r="I191" s="27" t="str">
        <f t="shared" si="58"/>
        <v/>
      </c>
      <c r="J191" s="27" t="str">
        <f t="shared" si="58"/>
        <v/>
      </c>
      <c r="K191" s="27" t="str">
        <f t="shared" si="58"/>
        <v/>
      </c>
      <c r="L191" s="27" t="str">
        <f t="shared" si="58"/>
        <v/>
      </c>
      <c r="M191" s="2"/>
      <c r="N191" s="3" t="s">
        <v>84</v>
      </c>
      <c r="O191" s="12" t="str">
        <f>IFERROR(__xludf.DUMMYFUNCTION("IF(COUNTA(C186:L186) = 0, """", IFERROR(TEXTJOIN("", "", TRUE, FILTER(C183:L183, C186:L186 = MAX(C186:L186))), """"))"),"")</f>
        <v/>
      </c>
      <c r="P191" s="4" t="str">
        <f>IFERROR(__xludf.DUMMYFUNCTION("IF(COUNTA(C186:L186) = 0, """", IFERROR(TEXTJOIN("", "", TRUE, FILTER(C183:L183, C193:L193 = MAX(C193:L193))), """"))"),"")</f>
        <v/>
      </c>
      <c r="Q191" s="4"/>
    </row>
    <row r="192">
      <c r="A192" s="3" t="s">
        <v>85</v>
      </c>
      <c r="B192" s="2"/>
      <c r="C192" s="24" t="str">
        <f t="shared" ref="C192:L192" si="59">IF(OR(C186="",C189=""),"",(C190/(C190+C191)))</f>
        <v/>
      </c>
      <c r="D192" s="24" t="str">
        <f t="shared" si="59"/>
        <v/>
      </c>
      <c r="E192" s="24" t="str">
        <f t="shared" si="59"/>
        <v/>
      </c>
      <c r="F192" s="24" t="str">
        <f t="shared" si="59"/>
        <v/>
      </c>
      <c r="G192" s="24" t="str">
        <f t="shared" si="59"/>
        <v/>
      </c>
      <c r="H192" s="24" t="str">
        <f t="shared" si="59"/>
        <v/>
      </c>
      <c r="I192" s="24" t="str">
        <f t="shared" si="59"/>
        <v/>
      </c>
      <c r="J192" s="24" t="str">
        <f t="shared" si="59"/>
        <v/>
      </c>
      <c r="K192" s="24" t="str">
        <f t="shared" si="59"/>
        <v/>
      </c>
      <c r="L192" s="24" t="str">
        <f t="shared" si="59"/>
        <v/>
      </c>
      <c r="M192" s="14"/>
      <c r="N192" s="3" t="s">
        <v>86</v>
      </c>
      <c r="O192" s="4" t="str">
        <f>IFERROR(__xludf.DUMMYFUNCTION("IF(COUNTA(C186:L186) = 0, """", IFERROR(TEXTJOIN("", "", TRUE, FILTER(C183:L183, C186:L186 = MIN(C186:L186))), """"))"),"")</f>
        <v/>
      </c>
      <c r="P192" s="4" t="str">
        <f>IFERROR(__xludf.DUMMYFUNCTION("IF(COUNTA(C186:L186) = 0, """", IFERROR(TEXTJOIN("", "", TRUE, FILTER(C183:L183, C193:L193 = MIN(C193:L193))), """"))"),"")</f>
        <v/>
      </c>
      <c r="Q192" s="4"/>
    </row>
    <row r="193">
      <c r="A193" s="3" t="s">
        <v>87</v>
      </c>
      <c r="B193" s="2"/>
      <c r="C193" s="25" t="str">
        <f t="shared" ref="C193:L193" si="60">IF(C186="","",IF(((IF(C186 &lt;0,((-100/C186)+1),((C186/100)+1))+(IF(C180&lt;0,((-100/C180)+1),((C180/100)+1)))*(C177+C178))/(C177+C178+1))&lt;2,(-100/(((IF(C186 &lt;0,((-100/C186)+1),((C186/100)+1))+(IF(C180&lt;0,((-100/C180)+1),((C180/100)+1)))*(C177+C178))/(C177+C178+1))-1)),(((IF(C186 &lt;0,((-100/C186)+1),((C186/100)+1))+(IF(C180&lt;0,((-100/C180)+1),((C180/100)+1)))*(C177+C178))/(C177+C178+1))-1)*100))</f>
        <v/>
      </c>
      <c r="D193" s="25" t="str">
        <f t="shared" si="60"/>
        <v/>
      </c>
      <c r="E193" s="25" t="str">
        <f t="shared" si="60"/>
        <v/>
      </c>
      <c r="F193" s="25" t="str">
        <f t="shared" si="60"/>
        <v/>
      </c>
      <c r="G193" s="25" t="str">
        <f t="shared" si="60"/>
        <v/>
      </c>
      <c r="H193" s="25" t="str">
        <f t="shared" si="60"/>
        <v/>
      </c>
      <c r="I193" s="25" t="str">
        <f t="shared" si="60"/>
        <v/>
      </c>
      <c r="J193" s="25" t="str">
        <f t="shared" si="60"/>
        <v/>
      </c>
      <c r="K193" s="25" t="str">
        <f t="shared" si="60"/>
        <v/>
      </c>
      <c r="L193" s="25" t="str">
        <f t="shared" si="60"/>
        <v/>
      </c>
      <c r="M193" s="14"/>
      <c r="N193" s="4"/>
      <c r="O193" s="12"/>
      <c r="P193" s="12"/>
      <c r="Q193" s="4"/>
    </row>
    <row r="194">
      <c r="A194" s="16" t="s">
        <v>88</v>
      </c>
      <c r="B194" s="2"/>
      <c r="C194" s="26" t="str">
        <f>IFERROR(__xludf.DUMMYFUNCTION("IF(OR(C186="""",C189=""""),"""",IF(REGEXMATCH(C189,""W""),IF(C186&lt;0,((-100/C186))*10+C181,((C186/100)*10+C181)),-10+C181))"),"")</f>
        <v/>
      </c>
      <c r="D194" s="26" t="str">
        <f>IFERROR(__xludf.DUMMYFUNCTION("IF(OR(D186="""",D189=""""),"""",IF(REGEXMATCH(D189,""W""),IF(D186&lt;0,((-100/D186))*10+D181,((D186/100)*10+D181)),-10+D181))"),"")</f>
        <v/>
      </c>
      <c r="E194" s="26" t="str">
        <f>IFERROR(__xludf.DUMMYFUNCTION("IF(OR(E186="""",E189=""""),"""",IF(REGEXMATCH(E189,""W""),IF(E186&lt;0,((-100/E186))*10+E181,((E186/100)*10+E181)),-10+E181))"),"")</f>
        <v/>
      </c>
      <c r="F194" s="26" t="str">
        <f>IFERROR(__xludf.DUMMYFUNCTION("IF(OR(F186="""",F189=""""),"""",IF(REGEXMATCH(F189,""W""),IF(F186&lt;0,((-100/F186))*10+F181,((F186/100)*10+F181)),-10+F181))"),"")</f>
        <v/>
      </c>
      <c r="G194" s="26" t="str">
        <f>IFERROR(__xludf.DUMMYFUNCTION("IF(OR(G186="""",G189=""""),"""",IF(REGEXMATCH(G189,""W""),IF(G186&lt;0,((-100/G186))*10+G181,((G186/100)*10+G181)),-10+G181))"),"")</f>
        <v/>
      </c>
      <c r="H194" s="26" t="str">
        <f>IFERROR(__xludf.DUMMYFUNCTION("IF(OR(H186="""",H189=""""),"""",IF(REGEXMATCH(H189,""W""),IF(H186&lt;0,((-100/H186))*10+H181,((H186/100)*10+H181)),-10+H181))"),"")</f>
        <v/>
      </c>
      <c r="I194" s="26" t="str">
        <f>IFERROR(__xludf.DUMMYFUNCTION("IF(OR(I186="""",I189=""""),"""",IF(REGEXMATCH(I189,""W""),IF(I186&lt;0,((-100/I186))*10+I181,((I186/100)*10+I181)),-10+I181))"),"")</f>
        <v/>
      </c>
      <c r="J194" s="26" t="str">
        <f>IFERROR(__xludf.DUMMYFUNCTION("IF(OR(J186="""",J189=""""),"""",IF(REGEXMATCH(J189,""W""),IF(J186&lt;0,((-100/J186))*10+J181,((J186/100)*10+J181)),-10+J181))"),"")</f>
        <v/>
      </c>
      <c r="K194" s="26" t="str">
        <f>IFERROR(__xludf.DUMMYFUNCTION("IF(OR(K186="""",K189=""""),"""",IF(REGEXMATCH(K189,""W""),IF(K186&lt;0,((-100/K186))*10+K181,((K186/100)*10+K181)),-10+K181))"),"")</f>
        <v/>
      </c>
      <c r="L194" s="26" t="str">
        <f>IFERROR(__xludf.DUMMYFUNCTION("IF(OR(L186="""",L189=""""),"""",IF(REGEXMATCH(L189,""W""),IF(L186&lt;0,((-100/L186))*10+L181,((L186/100)*10+L181)),-10+L181))"),"")</f>
        <v/>
      </c>
      <c r="M194" s="14"/>
      <c r="N194" s="16" t="s">
        <v>89</v>
      </c>
      <c r="O194" s="10" t="str">
        <f>IFERROR(__xludf.DUMMYFUNCTION("IF(AND(C194="""",AND(D194="""",AND(E194="""",AND(F194="""",AND(G194="""",AND(H194="""",AND(I194="""",AND(J194="""",AND(K194="""",L194=""""))))))))),"""",(IF(C189="""",0,IF(REGEXMATCH(C189,""W""),IF(C186&lt;0,((-100/C186))*10,((C186/100)*10)),-10))+IF(D189="""&amp;""",0,IF(REGEXMATCH(D189,""W""),IF(D186&lt;0,((-100/D186))*10,((D186/100)*10)),-10))+IF(E189="""",0,IF(REGEXMATCH(E189,""W""),IF(E186&lt;0,((-100/E186))*10,((E186/100)*10)),-10))+IF(F189="""",0,IF(REGEXMATCH(F189,""W""),IF(F186&lt;0,((-100/F186))*10,((F186/100)*10)"&amp;"),-10))+IF(G189="""",0,IF(REGEXMATCH(G189,""W""),IF(G186&lt;0,((-100/G186))*10,((G186/100)*10)),-10))+IF(H189="""",0,IF(REGEXMATCH(H189,""W""),IF(H186&lt;0,((-100/H186))*10,((H186/100)*10)),-10))+IF(I189="""",0,IF(REGEXMATCH(I189,""W""),IF(I186&lt;0,((-100/I186))*"&amp;"10,((I186/100)*10)),-10))+IF(J189="""",0,IF(REGEXMATCH(J189,""W""),IF(J186&lt;0,((-100/J186))*10,((J186/100)*10)),-10))+IF(K189="""",0,IF(REGEXMATCH(K189,""W""),IF(K186&lt;0,((-100/K186))*10,((K186/100)*10)),-10))+IF(L189="""",0,IF(REGEXMATCH(L189,""W""),IF(L18"&amp;"6&lt;0,((-100/L186))*10,((L186/100)*10)),-10))))"),"")</f>
        <v/>
      </c>
      <c r="P194" s="10" t="str">
        <f>IFERROR(__xludf.DUMMYFUNCTION("IF(AND(C194="""",AND(D194="""",AND(E194="""",AND(F194="""",AND(G194="""",AND(H194="""",AND(I194="""",AND(J194="""",AND(K194="""",L194=""""))))))))),"""",(P181+IF(C189="""",0,IF(REGEXMATCH(C189,""W""),IF(C186&lt;0,((-100/C186))*10,((C186/100)*10)),-10))+IF(D1"&amp;"89="""",0,IF(REGEXMATCH(D189,""W""),IF(D186&lt;0,((-100/D186))*10,((D186/100)*10)),-10))+IF(E189="""",0,IF(REGEXMATCH(E189,""W""),IF(E186&lt;0,((-100/E186))*10,((E186/100)*10)),-10))+IF(F189="""",0,IF(REGEXMATCH(F189,""W""),IF(F186&lt;0,((-100/F186))*10,((F186/100"&amp;")*10)),-10))+IF(G189="""",0,IF(REGEXMATCH(G189,""W""),IF(G186&lt;0,((-100/G186))*10,((G186/100)*10)),-10))+IF(H189="""",0,IF(REGEXMATCH(H189,""W""),IF(H186&lt;0,((-100/H186))*10,((H186/100)*10)),-10))+IF(I189="""",0,IF(REGEXMATCH(I189,""W""),IF(I186&lt;0,((-100/I1"&amp;"86))*10,((I186/100)*10)),-10))+IF(J189="""",0,IF(REGEXMATCH(J189,""W""),IF(J186&lt;0,((-100/J186))*10,((J186/100)*10)),-10))+IF(K189="""",0,IF(REGEXMATCH(K189,""W""),IF(K186&lt;0,((-100/K186))*10,((K186/100)*10)),-10))+IF(L189="""",0,IF(REGEXMATCH(L189,""W""),I"&amp;"F(L186&lt;0,((-100/L186))*10,((L186/100)*10)),-10))))"),"")</f>
        <v/>
      </c>
      <c r="Q194" s="4"/>
    </row>
    <row r="195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</row>
  </sheetData>
  <conditionalFormatting sqref="C7:L7 C20:L20 C33:L33 C46:L46 C59:L59 C72:L72 C85:L85 C98:L98 C111:L111 C124:L124 C137:L137 C150:L150 C163:L163 C176:L176 C189:L189">
    <cfRule type="cellIs" dxfId="0" priority="1" operator="equal">
      <formula>"W"</formula>
    </cfRule>
  </conditionalFormatting>
  <conditionalFormatting sqref="C12:L12 C25:L25 C38:L38 C51:L51 C64:L64 C77:L77 C90:L90 C103:L103 C116:L116 C129:L129 C142:L142 C155:L155 C168:L168 C181:L181 C194:L194">
    <cfRule type="cellIs" dxfId="1" priority="2" operator="lessThan">
      <formula>0</formula>
    </cfRule>
  </conditionalFormatting>
  <conditionalFormatting sqref="C12:L12 C25:L25 C38:L38 C51:L51 C64:L64 C77:L77 C90:L90 C103:L103 C116:L116 C129:L129 C142:L142 C155:L155 C168:L168 C181:L181 C194:L194">
    <cfRule type="cellIs" dxfId="0" priority="3" operator="greaterThan">
      <formula>0</formula>
    </cfRule>
  </conditionalFormatting>
  <conditionalFormatting sqref="C7:L7 C20:L20 C33:L33 C46:L46 C59:L59 C72:L72 C85:L85 C98:L98 C111:L111 C124:L124 C137:L137 C150:L150 C163:L163 C176:L176 C189:L189">
    <cfRule type="cellIs" dxfId="1" priority="4" operator="equal">
      <formula>"L"</formula>
    </cfRule>
  </conditionalFormatting>
  <conditionalFormatting sqref="O12:P12 O25:P25 O38:P38 O51:P51 O64:P64 O77:P77 O90:P90 O103:P103 O116:P116 O129:P129 O142:P142 O155:P155 O168:P168 O181:P181 O194:P194">
    <cfRule type="cellIs" dxfId="0" priority="5" operator="greaterThan">
      <formula>0</formula>
    </cfRule>
  </conditionalFormatting>
  <conditionalFormatting sqref="O12:P12 O25:P25 O38:P38 O51:P51 O64:P64 O77:P77 O90:P90 O103:P103 O116:P116 O129:P129 O142:P142 O155:P155 O168:P168 O181:P181 O194:P194">
    <cfRule type="cellIs" dxfId="1" priority="6" operator="lessThan">
      <formula>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  <col customWidth="1" min="2" max="2" width="3.25"/>
    <col customWidth="1" min="3" max="3" width="33.5"/>
    <col customWidth="1" min="4" max="4" width="18.13"/>
    <col customWidth="1" min="5" max="5" width="27.88"/>
    <col customWidth="1" min="6" max="6" width="22.88"/>
    <col customWidth="1" min="7" max="7" width="32.88"/>
    <col customWidth="1" min="8" max="8" width="20.88"/>
    <col customWidth="1" min="9" max="9" width="27.13"/>
    <col customWidth="1" min="10" max="10" width="28.25"/>
    <col customWidth="1" min="11" max="11" width="32.5"/>
    <col customWidth="1" min="12" max="12" width="25.88"/>
    <col customWidth="1" min="13" max="13" width="3.0"/>
    <col customWidth="1" min="14" max="14" width="17.75"/>
    <col customWidth="1" min="15" max="15" width="13.5"/>
    <col customWidth="1" min="16" max="16" width="21.25"/>
    <col customWidth="1" min="17" max="17" width="17.25"/>
  </cols>
  <sheetData>
    <row r="1">
      <c r="A1" s="1" t="s">
        <v>0</v>
      </c>
      <c r="B1" s="2"/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2"/>
      <c r="N1" s="4"/>
      <c r="O1" s="3" t="s">
        <v>11</v>
      </c>
      <c r="P1" s="4"/>
      <c r="Q1" s="4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>
      <c r="A3" s="3" t="s">
        <v>12</v>
      </c>
      <c r="B3" s="2"/>
      <c r="C3" s="5" t="s">
        <v>15</v>
      </c>
      <c r="D3" s="5" t="s">
        <v>16</v>
      </c>
      <c r="E3" s="5" t="s">
        <v>17</v>
      </c>
      <c r="F3" s="5" t="s">
        <v>18</v>
      </c>
      <c r="G3" s="5" t="s">
        <v>19</v>
      </c>
      <c r="H3" s="5" t="s">
        <v>20</v>
      </c>
      <c r="I3" s="5" t="s">
        <v>21</v>
      </c>
      <c r="J3" s="5" t="s">
        <v>22</v>
      </c>
      <c r="K3" s="5" t="s">
        <v>23</v>
      </c>
      <c r="L3" s="5" t="s">
        <v>24</v>
      </c>
      <c r="M3" s="2"/>
      <c r="N3" s="3" t="s">
        <v>13</v>
      </c>
      <c r="O3" s="7">
        <f>IF(AND(C4="",AND(D4="",AND(E4="",AND(F4="",AND(G4="",AND(H4="",AND(I4="",AND(J4="",AND(K4="",L4=""))))))))),"",IF(((IF(C4="",1,IF(C4&gt;0,(C4/100)+1,(100/((-1)*C4))+1)))*(IF(D4="",1,IF(D4&gt;0,(D4/100)+1,(100/((-1)*D4))+1)))*(IF(E4="",1,IF(E4&gt;0,(E4/100)+1,(100/((-1)*E4))+1)))*(IF(F4="",1,IF(F4&gt;0,(F4/100)+1,(100/((-1)*F4))+1)))*(IF(G4="",1,IF(G4&gt;0,(G4/100)+1,(100/((-1)*G4))+1)))*(IF(H4="",1,IF(H4&gt;0,(H4/100)+1,(100/((-1)*H4))+1)))*(IF(I4="",1,IF(I4&gt;0,(I4/100)+1,(100/((-1)*I4))+1)))*(IF(J4="",1,IF(J4&gt;0,(J4/100)+1,(100/((-1)*J4))+1)))*(IF(K4="",1,IF(K4&gt;0,(K4/100)+1,(100/((-1)*K4))+1)))*(IF(L4="",1,IF(L4&gt;0,(L4/100)+1,(100/((-1)*L4))+1))))&lt;2,((-100)/(((IF(C4="",1,IF(C4&gt;0,(C4/100)+1,(100/((-1)*C4))+1)))*(IF(D4="",1,IF(D4&gt;0,(D4/100)+1,(100/((-1)*D4))+1)))*(IF(E4="",1,IF(E4&gt;0,(E4/100)+1,(100/((-1)*E4))+1)))*(IF(F4="",1,IF(F4&gt;0,(F4/100)+1,(100/((-1)*F4))+1)))*(IF(G4="",1,IF(G4&gt;0,(G4/100)+1,(100/((-1)*G4))+1)))*(IF(H4="",1,IF(H4&gt;0,(H4/100)+1,(100/((-1)*H4))+1)))*(IF(I4="",1,IF(I4&gt;0,(I4/100)+1,(100/((-1)*I4))+1)))*(IF(J4="",1,IF(J4&gt;0,(J4/100)+1,(100/((-1)*J4))+1)))*(IF(K4="",1,IF(K4&gt;0,(K4/100)+1,(100/((-1)*K4))+1)))*(IF(L4="",1,IF(L4&gt;0,(L4/100)+1,(100/((-1)*L4))+1))))-1)),((((IF(C4="",1,IF(C4&gt;0,(C4/100)+1,(100/((-1)*C4))+1)))*(IF(D4="",1,IF(D4&gt;0,(D4/100)+1,(100/((-1)*D4))+1)))*(IF(E4="",1,IF(E4&gt;0,(E4/100)+1,(100/((-1)*E4))+1)))*(IF(F4="",1,IF(F4&gt;0,(F4/100)+1,(100/((-1)*F4))+1)))*(IF(G4="",1,IF(G4&gt;0,(G4/100)+1,(100/((-1)*G4))+1)))*(IF(H4="",1,IF(H4&gt;0,(H4/100)+1,(100/((-1)*H4))+1)))*(IF(I4="",1,IF(I4&gt;0,(I4/100)+1,(100/((-1)*I4))+1)))*(IF(J4="",1,IF(J4&gt;0,(J4/100)+1,(100/((-1)*J4))+1)))*(IF(K4="",1,IF(K4&gt;0,(K4/100)+1,(100/((-1)*K4))+1)))*(IF(L4="",1,IF(L4&gt;0,(L4/100)+1,(100/((-1)*L4))+1))))-1)*(100))))</f>
        <v>41962.6646</v>
      </c>
      <c r="P3" s="4"/>
      <c r="Q3" s="8" t="s">
        <v>35</v>
      </c>
    </row>
    <row r="4">
      <c r="A4" s="3" t="s">
        <v>13</v>
      </c>
      <c r="B4" s="2"/>
      <c r="C4" s="5">
        <v>-159.0</v>
      </c>
      <c r="D4" s="5">
        <v>-167.0</v>
      </c>
      <c r="E4" s="5">
        <v>-109.0</v>
      </c>
      <c r="F4" s="5">
        <v>-115.0</v>
      </c>
      <c r="G4" s="5">
        <v>118.0</v>
      </c>
      <c r="H4" s="5">
        <v>115.0</v>
      </c>
      <c r="I4" s="5">
        <v>-118.0</v>
      </c>
      <c r="J4" s="5">
        <v>-167.0</v>
      </c>
      <c r="K4" s="5">
        <v>-115.0</v>
      </c>
      <c r="L4" s="5">
        <v>-135.0</v>
      </c>
      <c r="M4" s="2"/>
      <c r="N4" s="3" t="s">
        <v>36</v>
      </c>
      <c r="O4" s="10">
        <f>IF(AND(C4="",AND(D4="",AND(E4="",AND(F4="",AND(G4="",AND(H4="",AND(I4="",AND(J4="",AND(K4="",L4=""))))))))),"",10+IF((IF(((IF(C4="",1,IF(C4&gt;0,(C4/100)+1,(100/((-1)*C4))+1)))*(IF(D4="",1,IF(D4&gt;0,(D4/100)+1,(100/((-1)*D4))+1)))*(IF(E4="",1,IF(E4&gt;0,(E4/100)+1,(100/((-1)*E4))+1)))*(IF(F4="",1,IF(F4&gt;0,(F4/100)+1,(100/((-1)*F4))+1)))*(IF(G4="",1,IF(G4&gt;0,(G4/100)+1,(100/((-1)*G4))+1)))*(IF(H4="",1,IF(H4&gt;0,(H4/100)+1,(100/((-1)*H4))+1)))*(IF(I4="",1,IF(I4&gt;0,(I4/100)+1,(100/((-1)*I4))+1)))*(IF(J4="",1,IF(J4&gt;0,(J4/100)+1,(100/((-1)*J4))+1)))*(IF(K4="",1,IF(K4&gt;0,(K4/100)+1,(100/((-1)*K4))+1)))*(IF(L4="",1,IF(L4&gt;0,(L4/100)+1,(100/((-1)*L4))+1))))&lt;2,((-100)/(((IF(C4="",1,IF(C4&gt;0,(C4/100)+1,(100/((-1)*C4))+1)))*(IF(D4="",1,IF(D4&gt;0,(D4/100)+1,(100/((-1)*D4))+1)))*(IF(E4="",1,IF(E4&gt;0,(E4/100)+1,(100/((-1)*E4))+1)))*(IF(F4="",1,IF(F4&gt;0,(F4/100)+1,(100/((-1)*F4))+1)))*(IF(G4="",1,IF(G4&gt;0,(G4/100)+1,(100/((-1)*G4))+1)))*(IF(H4="",1,IF(H4&gt;0,(H4/100)+1,(100/((-1)*H4))+1)))*(IF(I4="",1,IF(I4&gt;0,(I4/100)+1,(100/((-1)*I4))+1)))*(IF(J4="",1,IF(J4&gt;0,(J4/100)+1,(100/((-1)*J4))+1)))*(IF(K4="",1,IF(K4&gt;0,(K4/100)+1,(100/((-1)*K4))+1)))*(IF(L4="",1,IF(L4&gt;0,(L4/100)+1,(100/((-1)*L4))+1))))-1)),((((IF(C4="",1,IF(C4&gt;0,(C4/100)+1,(100/((-1)*C4))+1)))*(IF(D4="",1,IF(D4&gt;0,(D4/100)+1,(100/((-1)*D4))+1)))*(IF(E4="",1,IF(E4&gt;0,(E4/100)+1,(100/((-1)*E4))+1)))*(IF(F4="",1,IF(F4&gt;0,(F4/100)+1,(100/((-1)*F4))+1)))*(IF(G4="",1,IF(G4&gt;0,(G4/100)+1,(100/((-1)*G4))+1)))*(IF(H4="",1,IF(H4&gt;0,(H4/100)+1,(100/((-1)*H4))+1)))*(IF(I4="",1,IF(I4&gt;0,(I4/100)+1,(100/((-1)*I4))+1)))*(IF(J4="",1,IF(J4&gt;0,(J4/100)+1,(100/((-1)*J4))+1)))*(IF(K4="",1,IF(K4&gt;0,(K4/100)+1,(100/((-1)*K4))+1)))*(IF(L4="",1,IF(L4&gt;0,(L4/100)+1,(100/((-1)*L4))+1))))-1)*(100))))&lt;0,(((-100)/((IF(((IF(C4="",1,IF(C4&gt;0,(C4/100)+1,(100/((-1)*C4))+1)))*(IF(D4="",1,IF(D4&gt;0,(D4/100)+1,(100/((-1)*D4))+1)))*(IF(E4="",1,IF(E4&gt;0,(E4/100)+1,(100/((-1)*E4))+1)))*(IF(F4="",1,IF(F4&gt;0,(F4/100)+1,(100/((-1)*F4))+1)))*(IF(G4="",1,IF(G4&gt;0,(G4/100)+1,(100/((-1)*G4))+1)))*(IF(H4="",1,IF(H4&gt;0,(H4/100)+1,(100/((-1)*H4))+1)))*(IF(I4="",1,IF(I4&gt;0,(I4/100)+1,(100/((-1)*I4))+1)))*(IF(J4="",1,IF(J4&gt;0,(J4/100)+1,(100/((-1)*J4))+1)))*(IF(K4="",1,IF(K4&gt;0,(K4/100)+1,(100/((-1)*K4))+1)))*(IF(L4="",1,IF(L4&gt;0,(L4/100)+1,(100/((-1)*L4))+1))))&lt;2,((-100)/(((IF(C4="",1,IF(C4&gt;0,(C4/100)+1,(100/((-1)*C4))+1)))*(IF(D4="",1,IF(D4&gt;0,(D4/100)+1,(100/((-1)*D4))+1)))*(IF(E4="",1,IF(E4&gt;0,(E4/100)+1,(100/((-1)*E4))+1)))*(IF(F4="",1,IF(F4&gt;0,(F4/100)+1,(100/((-1)*F4))+1)))*(IF(G4="",1,IF(G4&gt;0,(G4/100)+1,(100/((-1)*G4))+1)))*(IF(H4="",1,IF(H4&gt;0,(H4/100)+1,(100/((-1)*H4))+1)))*(IF(I4="",1,IF(I4&gt;0,(I4/100)+1,(100/((-1)*I4))+1)))*(IF(J4="",1,IF(J4&gt;0,(J4/100)+1,(100/((-1)*J4))+1)))*(IF(K4="",1,IF(K4&gt;0,(K4/100)+1,(100/((-1)*K4))+1)))*(IF(L4="",1,IF(L4&gt;0,(L4/100)+1,(100/((-1)*L4))+1))))-1)),((((IF(C4="",1,IF(C4&gt;0,(C4/100)+1,(100/((-1)*C4))+1)))*(IF(D4="",1,IF(D4&gt;0,(D4/100)+1,(100/((-1)*D4))+1)))*(IF(E4="",1,IF(E4&gt;0,(E4/100)+1,(100/((-1)*E4))+1)))*(IF(F4="",1,IF(F4&gt;0,(F4/100)+1,(100/((-1)*F4))+1)))*(IF(G4="",1,IF(G4&gt;0,(G4/100)+1,(100/((-1)*G4))+1)))*(IF(H4="",1,IF(H4&gt;0,(H4/100)+1,(100/((-1)*H4))+1)))*(IF(I4="",1,IF(I4&gt;0,(I4/100)+1,(100/((-1)*I4))+1)))*(IF(J4="",1,IF(J4&gt;0,(J4/100)+1,(100/((-1)*J4))+1)))*(IF(K4="",1,IF(K4&gt;0,(K4/100)+1,(100/((-1)*K4))+1)))*(IF(L4="",1,IF(L4&gt;0,(L4/100)+1,(100/((-1)*L4))+1))))-1)*(100))))))*10),(((IF(((IF(C4="",1,IF(C4&gt;0,(C4/100)+1,(100/((-1)*C4))+1)))*(IF(D4="",1,IF(D4&gt;0,(D4/100)+1,(100/((-1)*D4))+1)))*(IF(E4="",1,IF(E4&gt;0,(E4/100)+1,(100/((-1)*E4))+1)))*(IF(F4="",1,IF(F4&gt;0,(F4/100)+1,(100/((-1)*F4))+1)))*(IF(G4="",1,IF(G4&gt;0,(G4/100)+1,(100/((-1)*G4))+1)))*(IF(H4="",1,IF(H4&gt;0,(H4/100)+1,(100/((-1)*H4))+1)))*(IF(I4="",1,IF(I4&gt;0,(I4/100)+1,(100/((-1)*I4))+1)))*(IF(J4="",1,IF(J4&gt;0,(J4/100)+1,(100/((-1)*J4))+1)))*(IF(K4="",1,IF(K4&gt;0,(K4/100)+1,(100/((-1)*K4))+1)))*(IF(L4="",1,IF(L4&gt;0,(L4/100)+1,(100/((-1)*L4))+1))))&lt;2,((-100)/(((IF(C4="",1,IF(C4&gt;0,(C4/100)+1,(100/((-1)*C4))+1)))*(IF(D4="",1,IF(D4&gt;0,(D4/100)+1,(100/((-1)*D4))+1)))*(IF(E4="",1,IF(E4&gt;0,(E4/100)+1,(100/((-1)*E4))+1)))*(IF(F4="",1,IF(F4&gt;0,(F4/100)+1,(100/((-1)*F4))+1)))*(IF(G4="",1,IF(G4&gt;0,(G4/100)+1,(100/((-1)*G4))+1)))*(IF(H4="",1,IF(H4&gt;0,(H4/100)+1,(100/((-1)*H4))+1)))*(IF(I4="",1,IF(I4&gt;0,(I4/100)+1,(100/((-1)*I4))+1)))*(IF(J4="",1,IF(J4&gt;0,(J4/100)+1,(100/((-1)*J4))+1)))*(IF(K4="",1,IF(K4&gt;0,(K4/100)+1,(100/((-1)*K4))+1)))*(IF(L4="",1,IF(L4&gt;0,(L4/100)+1,(100/((-1)*L4))+1))))-1)),((((IF(C4="",1,IF(C4&gt;0,(C4/100)+1,(100/((-1)*C4))+1)))*(IF(D4="",1,IF(D4&gt;0,(D4/100)+1,(100/((-1)*D4))+1)))*(IF(E4="",1,IF(E4&gt;0,(E4/100)+1,(100/((-1)*E4))+1)))*(IF(F4="",1,IF(F4&gt;0,(F4/100)+1,(100/((-1)*F4))+1)))*(IF(G4="",1,IF(G4&gt;0,(G4/100)+1,(100/((-1)*G4))+1)))*(IF(H4="",1,IF(H4&gt;0,(H4/100)+1,(100/((-1)*H4))+1)))*(IF(I4="",1,IF(I4&gt;0,(I4/100)+1,(100/((-1)*I4))+1)))*(IF(J4="",1,IF(J4&gt;0,(J4/100)+1,(100/((-1)*J4))+1)))*(IF(K4="",1,IF(K4&gt;0,(K4/100)+1,(100/((-1)*K4))+1)))*(IF(L4="",1,IF(L4&gt;0,(L4/100)+1,(100/((-1)*L4))+1))))-1)*(100))))/100)*10)))</f>
        <v>4206.26646</v>
      </c>
      <c r="P4" s="4"/>
      <c r="Q4" s="4"/>
    </row>
    <row r="5">
      <c r="A5" s="3" t="s">
        <v>37</v>
      </c>
      <c r="B5" s="2"/>
      <c r="C5" s="5" t="s">
        <v>38</v>
      </c>
      <c r="D5" s="5" t="s">
        <v>39</v>
      </c>
      <c r="E5" s="5" t="s">
        <v>40</v>
      </c>
      <c r="F5" s="5" t="s">
        <v>41</v>
      </c>
      <c r="G5" s="5" t="s">
        <v>42</v>
      </c>
      <c r="H5" s="5" t="s">
        <v>43</v>
      </c>
      <c r="I5" s="5" t="s">
        <v>44</v>
      </c>
      <c r="J5" s="5" t="s">
        <v>45</v>
      </c>
      <c r="K5" s="5" t="s">
        <v>46</v>
      </c>
      <c r="L5" s="5" t="s">
        <v>47</v>
      </c>
      <c r="M5" s="2"/>
      <c r="N5" s="4"/>
      <c r="O5" s="4"/>
      <c r="P5" s="4"/>
      <c r="Q5" s="4"/>
    </row>
    <row r="6">
      <c r="A6" s="3" t="s">
        <v>48</v>
      </c>
      <c r="B6" s="2"/>
      <c r="C6" s="11">
        <v>45829.0</v>
      </c>
      <c r="D6" s="5" t="s">
        <v>49</v>
      </c>
      <c r="E6" s="11">
        <v>45956.0</v>
      </c>
      <c r="F6" s="5" t="s">
        <v>50</v>
      </c>
      <c r="G6" s="5" t="s">
        <v>51</v>
      </c>
      <c r="H6" s="11">
        <v>45914.0</v>
      </c>
      <c r="I6" s="5" t="s">
        <v>52</v>
      </c>
      <c r="J6" s="11">
        <v>46011.0</v>
      </c>
      <c r="K6" s="5" t="s">
        <v>53</v>
      </c>
      <c r="L6" s="5" t="s">
        <v>54</v>
      </c>
      <c r="M6" s="2"/>
      <c r="N6" s="4"/>
      <c r="O6" s="3" t="s">
        <v>56</v>
      </c>
      <c r="P6" s="3" t="s">
        <v>57</v>
      </c>
      <c r="Q6" s="4"/>
    </row>
    <row r="7">
      <c r="A7" s="3" t="s">
        <v>59</v>
      </c>
      <c r="B7" s="2"/>
      <c r="C7" s="5" t="s">
        <v>60</v>
      </c>
      <c r="D7" s="5" t="s">
        <v>60</v>
      </c>
      <c r="E7" s="5" t="s">
        <v>62</v>
      </c>
      <c r="F7" s="5" t="s">
        <v>60</v>
      </c>
      <c r="G7" s="5" t="s">
        <v>60</v>
      </c>
      <c r="H7" s="5" t="s">
        <v>62</v>
      </c>
      <c r="I7" s="5" t="s">
        <v>62</v>
      </c>
      <c r="J7" s="5" t="s">
        <v>60</v>
      </c>
      <c r="K7" s="5" t="s">
        <v>60</v>
      </c>
      <c r="L7" s="5" t="s">
        <v>62</v>
      </c>
      <c r="M7" s="2"/>
      <c r="N7" s="3" t="s">
        <v>65</v>
      </c>
      <c r="O7" s="12" t="str">
        <f>IFERROR(__xludf.DUMMYFUNCTION("IF(OR(COUNTA(C4:L4) = 0, COUNTA(C7:L7) = 0), """", IFERROR(TEXTJOIN("", "", TRUE, FILTER(C1:L1, (C7:L7 = ""W"") * (C4:L4 = MAX(FILTER(C4:L4, C7:L7 = ""W""))))), """"))"),"Hunter")</f>
        <v>Hunter</v>
      </c>
      <c r="P7" s="12" t="str">
        <f>IFERROR(__xludf.DUMMYFUNCTION("IF(COUNTA(C12:L12) = 0, """", IFERROR(TEXTJOIN("", "", TRUE, FILTER(C1:L1, C12:L12 = MAX(C12:L12))), """"))"),"Hunter")</f>
        <v>Hunter</v>
      </c>
      <c r="Q7" s="4"/>
    </row>
    <row r="8">
      <c r="A8" s="1" t="s">
        <v>81</v>
      </c>
      <c r="B8" s="2"/>
      <c r="C8" s="5">
        <f t="shared" ref="C8:L8" si="1">IF(C7="","",COUNTIF(C7,"W"))</f>
        <v>1</v>
      </c>
      <c r="D8" s="5">
        <f t="shared" si="1"/>
        <v>1</v>
      </c>
      <c r="E8" s="5">
        <f t="shared" si="1"/>
        <v>0</v>
      </c>
      <c r="F8" s="5">
        <f t="shared" si="1"/>
        <v>1</v>
      </c>
      <c r="G8" s="5">
        <f t="shared" si="1"/>
        <v>1</v>
      </c>
      <c r="H8" s="5">
        <f t="shared" si="1"/>
        <v>0</v>
      </c>
      <c r="I8" s="5">
        <f t="shared" si="1"/>
        <v>0</v>
      </c>
      <c r="J8" s="5">
        <f t="shared" si="1"/>
        <v>1</v>
      </c>
      <c r="K8" s="5">
        <f t="shared" si="1"/>
        <v>1</v>
      </c>
      <c r="L8" s="5">
        <f t="shared" si="1"/>
        <v>0</v>
      </c>
      <c r="M8" s="2"/>
      <c r="N8" s="3" t="s">
        <v>82</v>
      </c>
      <c r="O8" s="4" t="str">
        <f>IFERROR(__xludf.DUMMYFUNCTION("IF(OR(COUNTA(C4:L4) = 0, COUNTA(C7:L7) = 0), """", IFERROR(TEXTJOIN("", "", TRUE, FILTER(C1:L1, (C7:L7 = ""L"") * (C4:L4 = MIN(FILTER(C4:L4, C7:L7 = ""L""))))), """"))"),"Trey")</f>
        <v>Trey</v>
      </c>
      <c r="P8" s="12" t="str">
        <f>IFERROR(__xludf.DUMMYFUNCTION("IF(COUNTA(C12:L12) = 0, """", IFERROR(TEXTJOIN("", "", TRUE, FILTER(C1:L1, C12:L12 = MIN(C12:L12))), """"))"),"Clayton, Jake, Nick, Trey")</f>
        <v>Clayton, Jake, Nick, Trey</v>
      </c>
      <c r="Q8" s="4"/>
    </row>
    <row r="9">
      <c r="A9" s="1" t="s">
        <v>83</v>
      </c>
      <c r="B9" s="2"/>
      <c r="C9" s="4">
        <f t="shared" ref="C9:L9" si="2">IF(C7="","",COUNTIF(C7,"L"))</f>
        <v>0</v>
      </c>
      <c r="D9" s="4">
        <f t="shared" si="2"/>
        <v>0</v>
      </c>
      <c r="E9" s="4">
        <f t="shared" si="2"/>
        <v>1</v>
      </c>
      <c r="F9" s="4">
        <f t="shared" si="2"/>
        <v>0</v>
      </c>
      <c r="G9" s="4">
        <f t="shared" si="2"/>
        <v>0</v>
      </c>
      <c r="H9" s="4">
        <f t="shared" si="2"/>
        <v>1</v>
      </c>
      <c r="I9" s="4">
        <f t="shared" si="2"/>
        <v>1</v>
      </c>
      <c r="J9" s="4">
        <f t="shared" si="2"/>
        <v>0</v>
      </c>
      <c r="K9" s="4">
        <f t="shared" si="2"/>
        <v>0</v>
      </c>
      <c r="L9" s="4">
        <f t="shared" si="2"/>
        <v>1</v>
      </c>
      <c r="M9" s="2"/>
      <c r="N9" s="3" t="s">
        <v>84</v>
      </c>
      <c r="O9" s="12" t="str">
        <f>IFERROR(__xludf.DUMMYFUNCTION("IF(COUNTA(C4:L4) = 0, """", IFERROR(TEXTJOIN("", "", TRUE, FILTER(C1:L1, C4:L4 = MAX(C4:L4))), """"))"),"Hunter")</f>
        <v>Hunter</v>
      </c>
      <c r="P9" s="4" t="str">
        <f>IFERROR(__xludf.DUMMYFUNCTION("IF(COUNTA(C4:L4) = 0, """", IFERROR(TEXTJOIN("", "", TRUE, FILTER(C1:L1, C11:L11 = MAX(C11:L11))), """"))"),"Hunter")</f>
        <v>Hunter</v>
      </c>
      <c r="Q9" s="4"/>
    </row>
    <row r="10">
      <c r="A10" s="3" t="s">
        <v>85</v>
      </c>
      <c r="B10" s="2"/>
      <c r="C10" s="13">
        <f t="shared" ref="C10:L10" si="3">IF(C7="","",(C8/(C8+C9)))</f>
        <v>1</v>
      </c>
      <c r="D10" s="13">
        <f t="shared" si="3"/>
        <v>1</v>
      </c>
      <c r="E10" s="13">
        <f t="shared" si="3"/>
        <v>0</v>
      </c>
      <c r="F10" s="13">
        <f t="shared" si="3"/>
        <v>1</v>
      </c>
      <c r="G10" s="13">
        <f t="shared" si="3"/>
        <v>1</v>
      </c>
      <c r="H10" s="13">
        <f t="shared" si="3"/>
        <v>0</v>
      </c>
      <c r="I10" s="13">
        <f t="shared" si="3"/>
        <v>0</v>
      </c>
      <c r="J10" s="13">
        <f t="shared" si="3"/>
        <v>1</v>
      </c>
      <c r="K10" s="13">
        <f t="shared" si="3"/>
        <v>1</v>
      </c>
      <c r="L10" s="13">
        <f t="shared" si="3"/>
        <v>0</v>
      </c>
      <c r="M10" s="14"/>
      <c r="N10" s="3" t="s">
        <v>86</v>
      </c>
      <c r="O10" s="4" t="str">
        <f>IFERROR(__xludf.DUMMYFUNCTION("IF(COUNTA(C4:L4) = 0, """", IFERROR(TEXTJOIN("", "", TRUE, FILTER(C1:L1, C4:L4 = MIN(C4:L4))), """"))"),"Carson, Tanner")</f>
        <v>Carson, Tanner</v>
      </c>
      <c r="P10" s="4" t="str">
        <f>IFERROR(__xludf.DUMMYFUNCTION("IF(COUNTA(C4:L4) = 0, """", IFERROR(TEXTJOIN("", "", TRUE, FILTER(C1:L1, C11:L11 = MIN(C11:L11))), """"))"),"Carson, Tanner")</f>
        <v>Carson, Tanner</v>
      </c>
      <c r="Q10" s="4"/>
    </row>
    <row r="11">
      <c r="A11" s="3" t="s">
        <v>87</v>
      </c>
      <c r="B11" s="2"/>
      <c r="C11" s="15">
        <f t="shared" ref="C11:L11" si="4">C4</f>
        <v>-159</v>
      </c>
      <c r="D11" s="15">
        <f t="shared" si="4"/>
        <v>-167</v>
      </c>
      <c r="E11" s="15">
        <f t="shared" si="4"/>
        <v>-109</v>
      </c>
      <c r="F11" s="15">
        <f t="shared" si="4"/>
        <v>-115</v>
      </c>
      <c r="G11" s="15">
        <f t="shared" si="4"/>
        <v>118</v>
      </c>
      <c r="H11" s="15">
        <f t="shared" si="4"/>
        <v>115</v>
      </c>
      <c r="I11" s="15">
        <f t="shared" si="4"/>
        <v>-118</v>
      </c>
      <c r="J11" s="15">
        <f t="shared" si="4"/>
        <v>-167</v>
      </c>
      <c r="K11" s="15">
        <f t="shared" si="4"/>
        <v>-115</v>
      </c>
      <c r="L11" s="15">
        <f t="shared" si="4"/>
        <v>-135</v>
      </c>
      <c r="M11" s="14"/>
      <c r="N11" s="4"/>
      <c r="O11" s="12"/>
      <c r="P11" s="12"/>
      <c r="Q11" s="4"/>
    </row>
    <row r="12">
      <c r="A12" s="16" t="s">
        <v>88</v>
      </c>
      <c r="B12" s="2"/>
      <c r="C12" s="10">
        <f>IFERROR(__xludf.DUMMYFUNCTION("IF(C7="""","""",IF(REGEXMATCH(C7,""W""),IF(C4&lt;0,((-100/C4))*10,((C4/100)*10)),-10))"),6.289308176100628)</f>
        <v>6.289308176</v>
      </c>
      <c r="D12" s="10">
        <f>IFERROR(__xludf.DUMMYFUNCTION("IF(D7="""","""",IF(REGEXMATCH(D7,""W""),IF(D4&lt;0,((-100/D4))*10,((D4/100)*10)),-10))"),5.988023952095808)</f>
        <v>5.988023952</v>
      </c>
      <c r="E12" s="10">
        <f>IFERROR(__xludf.DUMMYFUNCTION("IF(E7="""","""",IF(REGEXMATCH(E7,""W""),IF(E4&lt;0,((-100/E4))*10,((E4/100)*10)),-10))"),-10.0)</f>
        <v>-10</v>
      </c>
      <c r="F12" s="10">
        <f>IFERROR(__xludf.DUMMYFUNCTION("IF(F7="""","""",IF(REGEXMATCH(F7,""W""),IF(F4&lt;0,((-100/F4))*10,((F4/100)*10)),-10))"),8.695652173913043)</f>
        <v>8.695652174</v>
      </c>
      <c r="G12" s="10">
        <f>IFERROR(__xludf.DUMMYFUNCTION("IF(G7="""","""",IF(REGEXMATCH(G7,""W""),IF(G4&lt;0,((-100/G4))*10,((G4/100)*10)),-10))"),11.799999999999999)</f>
        <v>11.8</v>
      </c>
      <c r="H12" s="10">
        <f>IFERROR(__xludf.DUMMYFUNCTION("IF(H7="""","""",IF(REGEXMATCH(H7,""W""),IF(H4&lt;0,((-100/H4))*10,((H4/100)*10)),-10))"),-10.0)</f>
        <v>-10</v>
      </c>
      <c r="I12" s="10">
        <f>IFERROR(__xludf.DUMMYFUNCTION("IF(I7="""","""",IF(REGEXMATCH(I7,""W""),IF(I4&lt;0,((-100/I4))*10,((I4/100)*10)),-10))"),-10.0)</f>
        <v>-10</v>
      </c>
      <c r="J12" s="10">
        <f>IFERROR(__xludf.DUMMYFUNCTION("IF(J7="""","""",IF(REGEXMATCH(J7,""W""),IF(J4&lt;0,((-100/J4))*10,((J4/100)*10)),-10))"),5.988023952095808)</f>
        <v>5.988023952</v>
      </c>
      <c r="K12" s="10">
        <f>IFERROR(__xludf.DUMMYFUNCTION("IF(K7="""","""",IF(REGEXMATCH(K7,""W""),IF(K4&lt;0,((-100/K4))*10,((K4/100)*10)),-10))"),8.695652173913043)</f>
        <v>8.695652174</v>
      </c>
      <c r="L12" s="10">
        <f>IFERROR(__xludf.DUMMYFUNCTION("IF(L7="""","""",IF(REGEXMATCH(L7,""W""),IF(L4&lt;0,((-100/L4))*10,((L4/100)*10)),-10))"),-10.0)</f>
        <v>-10</v>
      </c>
      <c r="M12" s="14"/>
      <c r="N12" s="16" t="s">
        <v>89</v>
      </c>
      <c r="O12" s="10">
        <f>sum(C12:L12)</f>
        <v>7.456660428</v>
      </c>
      <c r="P12" s="10">
        <f>O12</f>
        <v>7.456660428</v>
      </c>
      <c r="Q12" s="4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>
      <c r="A14" s="1" t="s">
        <v>91</v>
      </c>
      <c r="B14" s="2"/>
      <c r="C14" s="3" t="s">
        <v>1</v>
      </c>
      <c r="D14" s="3" t="s">
        <v>2</v>
      </c>
      <c r="E14" s="3" t="s">
        <v>3</v>
      </c>
      <c r="F14" s="3" t="s">
        <v>4</v>
      </c>
      <c r="G14" s="3" t="s">
        <v>5</v>
      </c>
      <c r="H14" s="3" t="s">
        <v>6</v>
      </c>
      <c r="I14" s="3" t="s">
        <v>7</v>
      </c>
      <c r="J14" s="3" t="s">
        <v>8</v>
      </c>
      <c r="K14" s="3" t="s">
        <v>9</v>
      </c>
      <c r="L14" s="3" t="s">
        <v>10</v>
      </c>
      <c r="M14" s="2"/>
      <c r="N14" s="4"/>
      <c r="O14" s="3" t="s">
        <v>11</v>
      </c>
      <c r="P14" s="4"/>
      <c r="Q14" s="4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>
      <c r="A16" s="3" t="s">
        <v>12</v>
      </c>
      <c r="B16" s="2"/>
      <c r="C16" s="18" t="s">
        <v>92</v>
      </c>
      <c r="D16" s="18" t="s">
        <v>93</v>
      </c>
      <c r="E16" s="18" t="s">
        <v>94</v>
      </c>
      <c r="F16" s="18" t="s">
        <v>96</v>
      </c>
      <c r="G16" s="5" t="s">
        <v>98</v>
      </c>
      <c r="H16" s="18" t="s">
        <v>100</v>
      </c>
      <c r="I16" s="19" t="s">
        <v>102</v>
      </c>
      <c r="J16" s="18" t="s">
        <v>104</v>
      </c>
      <c r="K16" s="18" t="s">
        <v>105</v>
      </c>
      <c r="L16" s="18" t="s">
        <v>106</v>
      </c>
      <c r="M16" s="2"/>
      <c r="N16" s="3" t="s">
        <v>13</v>
      </c>
      <c r="O16" s="7">
        <f>IF(AND(C17="",AND(D17="",AND(E17="",AND(F17="",AND(G17="",AND(H17="",AND(I17="",AND(J17="",AND(K17="",L17=""))))))))),"",IF(((IF(C17="",1,IF(C17&gt;0,(C17/100)+1,(100/((-1)*C17))+1)))*(IF(D17="",1,IF(D17&gt;0,(D17/100)+1,(100/((-1)*D17))+1)))*(IF(E17="",1,IF(E17&gt;0,(E17/100)+1,(100/((-1)*E17))+1)))*(IF(F17="",1,IF(F17&gt;0,(F17/100)+1,(100/((-1)*F17))+1)))*(IF(G17="",1,IF(G17&gt;0,(G17/100)+1,(100/((-1)*G17))+1)))*(IF(H17="",1,IF(H17&gt;0,(H17/100)+1,(100/((-1)*H17))+1)))*(IF(I17="",1,IF(I17&gt;0,(I17/100)+1,(100/((-1)*I17))+1)))*(IF(J17="",1,IF(J17&gt;0,(J17/100)+1,(100/((-1)*J17))+1)))*(IF(K17="",1,IF(K17&gt;0,(K17/100)+1,(100/((-1)*K17))+1)))*(IF(L17="",1,IF(L17&gt;0,(L17/100)+1,(100/((-1)*L17))+1))))&lt;2,((-100)/(((IF(C17="",1,IF(C17&gt;0,(C17/100)+1,(100/((-1)*C17))+1)))*(IF(D17="",1,IF(D17&gt;0,(D17/100)+1,(100/((-1)*D17))+1)))*(IF(E17="",1,IF(E17&gt;0,(E17/100)+1,(100/((-1)*E17))+1)))*(IF(F17="",1,IF(F17&gt;0,(F17/100)+1,(100/((-1)*F17))+1)))*(IF(G17="",1,IF(G17&gt;0,(G17/100)+1,(100/((-1)*G17))+1)))*(IF(H17="",1,IF(H17&gt;0,(H17/100)+1,(100/((-1)*H17))+1)))*(IF(I17="",1,IF(I17&gt;0,(I17/100)+1,(100/((-1)*I17))+1)))*(IF(J17="",1,IF(J17&gt;0,(J17/100)+1,(100/((-1)*J17))+1)))*(IF(K17="",1,IF(K17&gt;0,(K17/100)+1,(100/((-1)*K17))+1)))*(IF(L17="",1,IF(L17&gt;0,(L17/100)+1,(100/((-1)*L17))+1))))-1)),((((IF(C17="",1,IF(C17&gt;0,(C17/100)+1,(100/((-1)*C17))+1)))*(IF(D17="",1,IF(D17&gt;0,(D17/100)+1,(100/((-1)*D17))+1)))*(IF(E17="",1,IF(E17&gt;0,(E17/100)+1,(100/((-1)*E17))+1)))*(IF(F17="",1,IF(F17&gt;0,(F17/100)+1,(100/((-1)*F17))+1)))*(IF(G17="",1,IF(G17&gt;0,(G17/100)+1,(100/((-1)*G17))+1)))*(IF(H17="",1,IF(H17&gt;0,(H17/100)+1,(100/((-1)*H17))+1)))*(IF(I17="",1,IF(I17&gt;0,(I17/100)+1,(100/((-1)*I17))+1)))*(IF(J17="",1,IF(J17&gt;0,(J17/100)+1,(100/((-1)*J17))+1)))*(IF(K17="",1,IF(K17&gt;0,(K17/100)+1,(100/((-1)*K17))+1)))*(IF(L17="",1,IF(L17&gt;0,(L17/100)+1,(100/((-1)*L17))+1))))-1)*(100))))</f>
        <v>36763.03555</v>
      </c>
      <c r="P16" s="4"/>
      <c r="Q16" s="8" t="s">
        <v>35</v>
      </c>
    </row>
    <row r="17">
      <c r="A17" s="3" t="s">
        <v>13</v>
      </c>
      <c r="B17" s="2"/>
      <c r="C17" s="18">
        <v>-120.0</v>
      </c>
      <c r="D17" s="18">
        <v>-130.0</v>
      </c>
      <c r="E17" s="18">
        <v>-105.0</v>
      </c>
      <c r="F17" s="18">
        <v>-120.0</v>
      </c>
      <c r="G17" s="18">
        <v>-111.0</v>
      </c>
      <c r="H17" s="18">
        <v>-105.0</v>
      </c>
      <c r="I17" s="18">
        <v>-161.0</v>
      </c>
      <c r="J17" s="18">
        <v>-159.0</v>
      </c>
      <c r="K17" s="18">
        <v>-145.0</v>
      </c>
      <c r="L17" s="18">
        <v>-109.0</v>
      </c>
      <c r="M17" s="2">
        <v>1.0</v>
      </c>
      <c r="N17" s="3" t="s">
        <v>36</v>
      </c>
      <c r="O17" s="10">
        <f>IF(AND(C17="",AND(D17="",AND(E17="",AND(F17="",AND(G17="",AND(H17="",AND(I17="",AND(J17="",AND(K17="",L17=""))))))))),"",10+IF((IF(((IF(C17="",1,IF(C17&gt;0,(C17/100)+1,(100/((-1)*C17))+1)))*(IF(D17="",1,IF(D17&gt;0,(D17/100)+1,(100/((-1)*D17))+1)))*(IF(E17="",1,IF(E17&gt;0,(E17/100)+1,(100/((-1)*E17))+1)))*(IF(F17="",1,IF(F17&gt;0,(F17/100)+1,(100/((-1)*F17))+1)))*(IF(G17="",1,IF(G17&gt;0,(G17/100)+1,(100/((-1)*G17))+1)))*(IF(H17="",1,IF(H17&gt;0,(H17/100)+1,(100/((-1)*H17))+1)))*(IF(I17="",1,IF(I17&gt;0,(I17/100)+1,(100/((-1)*I17))+1)))*(IF(J17="",1,IF(J17&gt;0,(J17/100)+1,(100/((-1)*J17))+1)))*(IF(K17="",1,IF(K17&gt;0,(K17/100)+1,(100/((-1)*K17))+1)))*(IF(L17="",1,IF(L17&gt;0,(L17/100)+1,(100/((-1)*L17))+1))))&lt;2,((-100)/(((IF(C17="",1,IF(C17&gt;0,(C17/100)+1,(100/((-1)*C17))+1)))*(IF(D17="",1,IF(D17&gt;0,(D17/100)+1,(100/((-1)*D17))+1)))*(IF(E17="",1,IF(E17&gt;0,(E17/100)+1,(100/((-1)*E17))+1)))*(IF(F17="",1,IF(F17&gt;0,(F17/100)+1,(100/((-1)*F17))+1)))*(IF(G17="",1,IF(G17&gt;0,(G17/100)+1,(100/((-1)*G17))+1)))*(IF(H17="",1,IF(H17&gt;0,(H17/100)+1,(100/((-1)*H17))+1)))*(IF(I17="",1,IF(I17&gt;0,(I17/100)+1,(100/((-1)*I17))+1)))*(IF(J17="",1,IF(J17&gt;0,(J17/100)+1,(100/((-1)*J17))+1)))*(IF(K17="",1,IF(K17&gt;0,(K17/100)+1,(100/((-1)*K17))+1)))*(IF(L17="",1,IF(L17&gt;0,(L17/100)+1,(100/((-1)*L17))+1))))-1)),((((IF(C17="",1,IF(C17&gt;0,(C17/100)+1,(100/((-1)*C17))+1)))*(IF(D17="",1,IF(D17&gt;0,(D17/100)+1,(100/((-1)*D17))+1)))*(IF(E17="",1,IF(E17&gt;0,(E17/100)+1,(100/((-1)*E17))+1)))*(IF(F17="",1,IF(F17&gt;0,(F17/100)+1,(100/((-1)*F17))+1)))*(IF(G17="",1,IF(G17&gt;0,(G17/100)+1,(100/((-1)*G17))+1)))*(IF(H17="",1,IF(H17&gt;0,(H17/100)+1,(100/((-1)*H17))+1)))*(IF(I17="",1,IF(I17&gt;0,(I17/100)+1,(100/((-1)*I17))+1)))*(IF(J17="",1,IF(J17&gt;0,(J17/100)+1,(100/((-1)*J17))+1)))*(IF(K17="",1,IF(K17&gt;0,(K17/100)+1,(100/((-1)*K17))+1)))*(IF(L17="",1,IF(L17&gt;0,(L17/100)+1,(100/((-1)*L17))+1))))-1)*(100))))&lt;0,(((-100)/((IF(((IF(C17="",1,IF(C17&gt;0,(C17/100)+1,(100/((-1)*C17))+1)))*(IF(D17="",1,IF(D17&gt;0,(D17/100)+1,(100/((-1)*D17))+1)))*(IF(E17="",1,IF(E17&gt;0,(E17/100)+1,(100/((-1)*E17))+1)))*(IF(F17="",1,IF(F17&gt;0,(F17/100)+1,(100/((-1)*F17))+1)))*(IF(G17="",1,IF(G17&gt;0,(G17/100)+1,(100/((-1)*G17))+1)))*(IF(H17="",1,IF(H17&gt;0,(H17/100)+1,(100/((-1)*H17))+1)))*(IF(I17="",1,IF(I17&gt;0,(I17/100)+1,(100/((-1)*I17))+1)))*(IF(J17="",1,IF(J17&gt;0,(J17/100)+1,(100/((-1)*J17))+1)))*(IF(K17="",1,IF(K17&gt;0,(K17/100)+1,(100/((-1)*K17))+1)))*(IF(L17="",1,IF(L17&gt;0,(L17/100)+1,(100/((-1)*L17))+1))))&lt;2,((-100)/(((IF(C17="",1,IF(C17&gt;0,(C17/100)+1,(100/((-1)*C17))+1)))*(IF(D17="",1,IF(D17&gt;0,(D17/100)+1,(100/((-1)*D17))+1)))*(IF(E17="",1,IF(E17&gt;0,(E17/100)+1,(100/((-1)*E17))+1)))*(IF(F17="",1,IF(F17&gt;0,(F17/100)+1,(100/((-1)*F17))+1)))*(IF(G17="",1,IF(G17&gt;0,(G17/100)+1,(100/((-1)*G17))+1)))*(IF(H17="",1,IF(H17&gt;0,(H17/100)+1,(100/((-1)*H17))+1)))*(IF(I17="",1,IF(I17&gt;0,(I17/100)+1,(100/((-1)*I17))+1)))*(IF(J17="",1,IF(J17&gt;0,(J17/100)+1,(100/((-1)*J17))+1)))*(IF(K17="",1,IF(K17&gt;0,(K17/100)+1,(100/((-1)*K17))+1)))*(IF(L17="",1,IF(L17&gt;0,(L17/100)+1,(100/((-1)*L17))+1))))-1)),((((IF(C17="",1,IF(C17&gt;0,(C17/100)+1,(100/((-1)*C17))+1)))*(IF(D17="",1,IF(D17&gt;0,(D17/100)+1,(100/((-1)*D17))+1)))*(IF(E17="",1,IF(E17&gt;0,(E17/100)+1,(100/((-1)*E17))+1)))*(IF(F17="",1,IF(F17&gt;0,(F17/100)+1,(100/((-1)*F17))+1)))*(IF(G17="",1,IF(G17&gt;0,(G17/100)+1,(100/((-1)*G17))+1)))*(IF(H17="",1,IF(H17&gt;0,(H17/100)+1,(100/((-1)*H17))+1)))*(IF(I17="",1,IF(I17&gt;0,(I17/100)+1,(100/((-1)*I17))+1)))*(IF(J17="",1,IF(J17&gt;0,(J17/100)+1,(100/((-1)*J17))+1)))*(IF(K17="",1,IF(K17&gt;0,(K17/100)+1,(100/((-1)*K17))+1)))*(IF(L17="",1,IF(L17&gt;0,(L17/100)+1,(100/((-1)*L17))+1))))-1)*(100))))))*10),(((IF(((IF(C17="",1,IF(C17&gt;0,(C17/100)+1,(100/((-1)*C17))+1)))*(IF(D17="",1,IF(D17&gt;0,(D17/100)+1,(100/((-1)*D17))+1)))*(IF(E17="",1,IF(E17&gt;0,(E17/100)+1,(100/((-1)*E17))+1)))*(IF(F17="",1,IF(F17&gt;0,(F17/100)+1,(100/((-1)*F17))+1)))*(IF(G17="",1,IF(G17&gt;0,(G17/100)+1,(100/((-1)*G17))+1)))*(IF(H17="",1,IF(H17&gt;0,(H17/100)+1,(100/((-1)*H17))+1)))*(IF(I17="",1,IF(I17&gt;0,(I17/100)+1,(100/((-1)*I17))+1)))*(IF(J17="",1,IF(J17&gt;0,(J17/100)+1,(100/((-1)*J17))+1)))*(IF(K17="",1,IF(K17&gt;0,(K17/100)+1,(100/((-1)*K17))+1)))*(IF(L17="",1,IF(L17&gt;0,(L17/100)+1,(100/((-1)*L17))+1))))&lt;2,((-100)/(((IF(C17="",1,IF(C17&gt;0,(C17/100)+1,(100/((-1)*C17))+1)))*(IF(D17="",1,IF(D17&gt;0,(D17/100)+1,(100/((-1)*D17))+1)))*(IF(E17="",1,IF(E17&gt;0,(E17/100)+1,(100/((-1)*E17))+1)))*(IF(F17="",1,IF(F17&gt;0,(F17/100)+1,(100/((-1)*F17))+1)))*(IF(G17="",1,IF(G17&gt;0,(G17/100)+1,(100/((-1)*G17))+1)))*(IF(H17="",1,IF(H17&gt;0,(H17/100)+1,(100/((-1)*H17))+1)))*(IF(I17="",1,IF(I17&gt;0,(I17/100)+1,(100/((-1)*I17))+1)))*(IF(J17="",1,IF(J17&gt;0,(J17/100)+1,(100/((-1)*J17))+1)))*(IF(K17="",1,IF(K17&gt;0,(K17/100)+1,(100/((-1)*K17))+1)))*(IF(L17="",1,IF(L17&gt;0,(L17/100)+1,(100/((-1)*L17))+1))))-1)),((((IF(C17="",1,IF(C17&gt;0,(C17/100)+1,(100/((-1)*C17))+1)))*(IF(D17="",1,IF(D17&gt;0,(D17/100)+1,(100/((-1)*D17))+1)))*(IF(E17="",1,IF(E17&gt;0,(E17/100)+1,(100/((-1)*E17))+1)))*(IF(F17="",1,IF(F17&gt;0,(F17/100)+1,(100/((-1)*F17))+1)))*(IF(G17="",1,IF(G17&gt;0,(G17/100)+1,(100/((-1)*G17))+1)))*(IF(H17="",1,IF(H17&gt;0,(H17/100)+1,(100/((-1)*H17))+1)))*(IF(I17="",1,IF(I17&gt;0,(I17/100)+1,(100/((-1)*I17))+1)))*(IF(J17="",1,IF(J17&gt;0,(J17/100)+1,(100/((-1)*J17))+1)))*(IF(K17="",1,IF(K17&gt;0,(K17/100)+1,(100/((-1)*K17))+1)))*(IF(L17="",1,IF(L17&gt;0,(L17/100)+1,(100/((-1)*L17))+1))))-1)*(100))))/100)*10)))</f>
        <v>3686.303555</v>
      </c>
      <c r="P17" s="4"/>
      <c r="Q17" s="4"/>
    </row>
    <row r="18">
      <c r="A18" s="3" t="s">
        <v>37</v>
      </c>
      <c r="B18" s="2"/>
      <c r="C18" s="18" t="s">
        <v>112</v>
      </c>
      <c r="D18" s="18" t="s">
        <v>113</v>
      </c>
      <c r="E18" s="18" t="s">
        <v>114</v>
      </c>
      <c r="F18" s="18" t="s">
        <v>115</v>
      </c>
      <c r="G18" s="18" t="s">
        <v>116</v>
      </c>
      <c r="H18" s="18" t="s">
        <v>117</v>
      </c>
      <c r="I18" s="18" t="s">
        <v>118</v>
      </c>
      <c r="J18" s="18" t="s">
        <v>119</v>
      </c>
      <c r="K18" s="18" t="s">
        <v>120</v>
      </c>
      <c r="L18" s="18" t="s">
        <v>121</v>
      </c>
      <c r="M18" s="2"/>
      <c r="N18" s="4"/>
      <c r="O18" s="4"/>
      <c r="P18" s="4"/>
      <c r="Q18" s="4"/>
    </row>
    <row r="19">
      <c r="A19" s="3" t="s">
        <v>48</v>
      </c>
      <c r="B19" s="2"/>
      <c r="C19" s="18" t="s">
        <v>122</v>
      </c>
      <c r="D19" s="18" t="s">
        <v>75</v>
      </c>
      <c r="E19" s="18" t="s">
        <v>123</v>
      </c>
      <c r="F19" s="18" t="s">
        <v>124</v>
      </c>
      <c r="G19" s="18" t="s">
        <v>125</v>
      </c>
      <c r="H19" s="18" t="s">
        <v>126</v>
      </c>
      <c r="I19" s="18" t="s">
        <v>127</v>
      </c>
      <c r="J19" s="18" t="s">
        <v>128</v>
      </c>
      <c r="K19" s="18" t="s">
        <v>129</v>
      </c>
      <c r="L19" s="18" t="s">
        <v>130</v>
      </c>
      <c r="M19" s="2"/>
      <c r="N19" s="4"/>
      <c r="O19" s="3" t="s">
        <v>56</v>
      </c>
      <c r="P19" s="3" t="s">
        <v>57</v>
      </c>
      <c r="Q19" s="4"/>
    </row>
    <row r="20">
      <c r="A20" s="3" t="s">
        <v>59</v>
      </c>
      <c r="B20" s="2"/>
      <c r="C20" s="5" t="s">
        <v>60</v>
      </c>
      <c r="D20" s="5" t="s">
        <v>60</v>
      </c>
      <c r="E20" s="5" t="s">
        <v>62</v>
      </c>
      <c r="F20" s="5" t="s">
        <v>62</v>
      </c>
      <c r="G20" s="5" t="s">
        <v>62</v>
      </c>
      <c r="H20" s="5" t="s">
        <v>62</v>
      </c>
      <c r="I20" s="5" t="s">
        <v>60</v>
      </c>
      <c r="J20" s="5" t="s">
        <v>60</v>
      </c>
      <c r="K20" s="5" t="s">
        <v>62</v>
      </c>
      <c r="L20" s="5" t="s">
        <v>62</v>
      </c>
      <c r="M20" s="2"/>
      <c r="N20" s="3" t="s">
        <v>65</v>
      </c>
      <c r="O20" s="12" t="str">
        <f>IFERROR(__xludf.DUMMYFUNCTION("IF(OR(COUNTA(C17:L17) = 0, COUNTA(C20:L20) = 0), """", IFERROR(TEXTJOIN("", "", TRUE, FILTER(C14:L14, (C20:L20 = ""W"") * (C17:L17 = MAX(FILTER(C17:L17, C20:L20 = ""W""))))), """"))"),"Austin")</f>
        <v>Austin</v>
      </c>
      <c r="P20" s="12" t="str">
        <f>IFERROR(__xludf.DUMMYFUNCTION("IF(COUNTA(C25:L25) = 0, """", IFERROR(TEXTJOIN("", "", TRUE, FILTER(C14:L14, C25:L25 = MAX(C25:L25))), """"))"),"Austin")</f>
        <v>Austin</v>
      </c>
      <c r="Q20" s="4"/>
    </row>
    <row r="21">
      <c r="A21" s="1" t="s">
        <v>81</v>
      </c>
      <c r="B21" s="2"/>
      <c r="C21" s="4">
        <f t="shared" ref="C21:L21" si="5">IF(OR(C17="",C20=""),"",C8+COUNTIF(C20,"W"))</f>
        <v>2</v>
      </c>
      <c r="D21" s="4">
        <f t="shared" si="5"/>
        <v>2</v>
      </c>
      <c r="E21" s="4">
        <f t="shared" si="5"/>
        <v>0</v>
      </c>
      <c r="F21" s="4">
        <f t="shared" si="5"/>
        <v>1</v>
      </c>
      <c r="G21" s="4">
        <f t="shared" si="5"/>
        <v>1</v>
      </c>
      <c r="H21" s="4">
        <f t="shared" si="5"/>
        <v>0</v>
      </c>
      <c r="I21" s="4">
        <f t="shared" si="5"/>
        <v>1</v>
      </c>
      <c r="J21" s="4">
        <f t="shared" si="5"/>
        <v>2</v>
      </c>
      <c r="K21" s="4">
        <f t="shared" si="5"/>
        <v>1</v>
      </c>
      <c r="L21" s="4">
        <f t="shared" si="5"/>
        <v>0</v>
      </c>
      <c r="M21" s="2"/>
      <c r="N21" s="3" t="s">
        <v>82</v>
      </c>
      <c r="O21" s="4" t="str">
        <f>IFERROR(__xludf.DUMMYFUNCTION("IF(OR(COUNTA(C17:L17) = 0, COUNTA(C20:L20) = 0), """", IFERROR(TEXTJOIN("", "", TRUE, FILTER(C14:L14, (C20:L20 = ""L"") * (C17:L17 = MIN(FILTER(C17:L17, C20:L20 = ""L""))))), """"))"),"Taylon")</f>
        <v>Taylon</v>
      </c>
      <c r="P21" s="12" t="str">
        <f>IFERROR(__xludf.DUMMYFUNCTION("IF(COUNTA(C25:L25) = 0, """", IFERROR(TEXTJOIN("", "", TRUE, FILTER(C14:L14, C25:L25 = MIN(C25:L25))), """"))"),"Clayton, Jake, Trey")</f>
        <v>Clayton, Jake, Trey</v>
      </c>
      <c r="Q21" s="4"/>
    </row>
    <row r="22">
      <c r="A22" s="1" t="s">
        <v>83</v>
      </c>
      <c r="B22" s="2"/>
      <c r="C22" s="22">
        <f t="shared" ref="C22:L22" si="6">IF(OR(C17="",C20=""),"",C9+COUNTIF(C20,"L"))</f>
        <v>0</v>
      </c>
      <c r="D22" s="22">
        <f t="shared" si="6"/>
        <v>0</v>
      </c>
      <c r="E22" s="22">
        <f t="shared" si="6"/>
        <v>2</v>
      </c>
      <c r="F22" s="22">
        <f t="shared" si="6"/>
        <v>1</v>
      </c>
      <c r="G22" s="22">
        <f t="shared" si="6"/>
        <v>1</v>
      </c>
      <c r="H22" s="22">
        <f t="shared" si="6"/>
        <v>2</v>
      </c>
      <c r="I22" s="22">
        <f t="shared" si="6"/>
        <v>1</v>
      </c>
      <c r="J22" s="22">
        <f t="shared" si="6"/>
        <v>0</v>
      </c>
      <c r="K22" s="22">
        <f t="shared" si="6"/>
        <v>1</v>
      </c>
      <c r="L22" s="22">
        <f t="shared" si="6"/>
        <v>2</v>
      </c>
      <c r="M22" s="2"/>
      <c r="N22" s="3" t="s">
        <v>84</v>
      </c>
      <c r="O22" s="12" t="str">
        <f>IFERROR(__xludf.DUMMYFUNCTION("IF(COUNTA(C17:L17) = 0, """", IFERROR(TEXTJOIN("", "", TRUE, FILTER(C14:L14, C17:L17 = MAX(C17:L17))), """"))"),"Clayton, Jake")</f>
        <v>Clayton, Jake</v>
      </c>
      <c r="P22" s="4" t="str">
        <f>IFERROR(__xludf.DUMMYFUNCTION("IF(COUNTA(C17:L17) = 0, """", IFERROR(TEXTJOIN("", "", TRUE, FILTER(C14:L14, C24:L24 = MAX(C24:L24))), """"))"),"Jake")</f>
        <v>Jake</v>
      </c>
      <c r="Q22" s="4"/>
    </row>
    <row r="23">
      <c r="A23" s="3" t="s">
        <v>85</v>
      </c>
      <c r="B23" s="2"/>
      <c r="C23" s="24">
        <f t="shared" ref="C23:L23" si="7">IF(OR(C17="",C20=""),"",(C21/(C21+C22)))</f>
        <v>1</v>
      </c>
      <c r="D23" s="24">
        <f t="shared" si="7"/>
        <v>1</v>
      </c>
      <c r="E23" s="24">
        <f t="shared" si="7"/>
        <v>0</v>
      </c>
      <c r="F23" s="24">
        <f t="shared" si="7"/>
        <v>0.5</v>
      </c>
      <c r="G23" s="24">
        <f t="shared" si="7"/>
        <v>0.5</v>
      </c>
      <c r="H23" s="24">
        <f t="shared" si="7"/>
        <v>0</v>
      </c>
      <c r="I23" s="24">
        <f t="shared" si="7"/>
        <v>0.5</v>
      </c>
      <c r="J23" s="24">
        <f t="shared" si="7"/>
        <v>1</v>
      </c>
      <c r="K23" s="24">
        <f t="shared" si="7"/>
        <v>0.5</v>
      </c>
      <c r="L23" s="24">
        <f t="shared" si="7"/>
        <v>0</v>
      </c>
      <c r="M23" s="14"/>
      <c r="N23" s="3" t="s">
        <v>86</v>
      </c>
      <c r="O23" s="4" t="str">
        <f>IFERROR(__xludf.DUMMYFUNCTION("IF(COUNTA(C17:L17) = 0, """", IFERROR(TEXTJOIN("", "", TRUE, FILTER(C14:L14, C17:L17 = MIN(C17:L17))), """"))"),"Nick")</f>
        <v>Nick</v>
      </c>
      <c r="P23" s="4" t="str">
        <f>IFERROR(__xludf.DUMMYFUNCTION("IF(COUNTA(C17:L17) = 0, """", IFERROR(TEXTJOIN("", "", TRUE, FILTER(C14:L14, C24:L24 = MIN(C24:L24))), """"))"),"Tanner")</f>
        <v>Tanner</v>
      </c>
      <c r="Q23" s="4"/>
    </row>
    <row r="24">
      <c r="A24" s="3" t="s">
        <v>87</v>
      </c>
      <c r="B24" s="2"/>
      <c r="C24" s="25">
        <f t="shared" ref="C24:L24" si="8">IF(C17="","",IF(((IF(C17 &lt;0,((-100/C17)+1),((C17/100)+1))+(IF(C11&lt;0,((-100/C11)+1),((C11/100)+1)))*(C8+C9))/(C8+C9+1))&lt;2,(-100/(((IF(C17 &lt;0,((-100/C17)+1),((C17/100)+1))+(IF(C11&lt;0,((-100/C11)+1),((C11/100)+1)))*(C8+C9))/(C8+C9+1))-1)),(((IF(C17 &lt;0,((-100/C17)+1),((C17/100)+1))+(IF(C11&lt;0,((-100/C11)+1),((C11/100)+1)))*(C8+C9))/(C8+C9+1))-1)*100))</f>
        <v>-136.7741935</v>
      </c>
      <c r="D24" s="25">
        <f t="shared" si="8"/>
        <v>-146.1952862</v>
      </c>
      <c r="E24" s="25">
        <f t="shared" si="8"/>
        <v>-106.9626168</v>
      </c>
      <c r="F24" s="25">
        <f t="shared" si="8"/>
        <v>-117.4468085</v>
      </c>
      <c r="G24" s="25">
        <f t="shared" si="8"/>
        <v>104.045045</v>
      </c>
      <c r="H24" s="25">
        <f t="shared" si="8"/>
        <v>105.1190476</v>
      </c>
      <c r="I24" s="25">
        <f t="shared" si="8"/>
        <v>-136.1863799</v>
      </c>
      <c r="J24" s="25">
        <f t="shared" si="8"/>
        <v>-162.9018405</v>
      </c>
      <c r="K24" s="25">
        <f t="shared" si="8"/>
        <v>-128.2692308</v>
      </c>
      <c r="L24" s="25">
        <f t="shared" si="8"/>
        <v>-120.6147541</v>
      </c>
      <c r="M24" s="14"/>
      <c r="N24" s="4"/>
      <c r="O24" s="12"/>
      <c r="P24" s="12"/>
      <c r="Q24" s="4"/>
    </row>
    <row r="25">
      <c r="A25" s="16" t="s">
        <v>88</v>
      </c>
      <c r="B25" s="2"/>
      <c r="C25" s="26">
        <f>IFERROR(__xludf.DUMMYFUNCTION("IF(OR(C16="""",C20=""""),"""",IF(REGEXMATCH(C20,""W""),IF(C17&lt;0,((-100/C17))*10+C12,((C17/100)*10+C12)),-10+C12))"),14.622641509433961)</f>
        <v>14.62264151</v>
      </c>
      <c r="D25" s="26">
        <f>IFERROR(__xludf.DUMMYFUNCTION("IF(OR(D16="""",D20=""""),"""",IF(REGEXMATCH(D20,""W""),IF(D17&lt;0,((-100/D17))*10+D12,((D17/100)*10+D12)),-10+D12))"),13.6803316444035)</f>
        <v>13.68033164</v>
      </c>
      <c r="E25" s="26">
        <f>IFERROR(__xludf.DUMMYFUNCTION("IF(OR(E16="""",E20=""""),"""",IF(REGEXMATCH(E20,""W""),IF(E17&lt;0,((-100/E17))*10+E12,((E17/100)*10+E12)),-10+E12))"),-20.0)</f>
        <v>-20</v>
      </c>
      <c r="F25" s="26">
        <f>IFERROR(__xludf.DUMMYFUNCTION("IF(OR(F16="""",F20=""""),"""",IF(REGEXMATCH(F20,""W""),IF(F17&lt;0,((-100/F17))*10+F12,((F17/100)*10+F12)),-10+F12))"),-1.304347826086957)</f>
        <v>-1.304347826</v>
      </c>
      <c r="G25" s="26">
        <f>IFERROR(__xludf.DUMMYFUNCTION("IF(OR(G16="""",G20=""""),"""",IF(REGEXMATCH(G20,""W""),IF(G17&lt;0,((-100/G17))*10+G12,((G17/100)*10+G12)),-10+G12))"),1.799999999999999)</f>
        <v>1.8</v>
      </c>
      <c r="H25" s="26">
        <f>IFERROR(__xludf.DUMMYFUNCTION("IF(OR(H16="""",H20=""""),"""",IF(REGEXMATCH(H20,""W""),IF(H17&lt;0,((-100/H17))*10+H12,((H17/100)*10+H12)),-10+H12))"),-20.0)</f>
        <v>-20</v>
      </c>
      <c r="I25" s="26">
        <f>IFERROR(__xludf.DUMMYFUNCTION("IF(OR(I16="""",I20=""""),"""",IF(REGEXMATCH(I20,""W""),IF(I17&lt;0,((-100/I17))*10+I12,((I17/100)*10+I12)),-10+I12))"),-3.7888198757763982)</f>
        <v>-3.788819876</v>
      </c>
      <c r="J25" s="26">
        <f>IFERROR(__xludf.DUMMYFUNCTION("IF(OR(J16="""",J20=""""),"""",IF(REGEXMATCH(J20,""W""),IF(J17&lt;0,((-100/J17))*10+J12,((J17/100)*10+J12)),-10+J12))"),12.277332128196436)</f>
        <v>12.27733213</v>
      </c>
      <c r="K25" s="26">
        <f>IFERROR(__xludf.DUMMYFUNCTION("IF(OR(K16="""",K20=""""),"""",IF(REGEXMATCH(K20,""W""),IF(K17&lt;0,((-100/K17))*10+K12,((K17/100)*10+K12)),-10+K12))"),-1.304347826086957)</f>
        <v>-1.304347826</v>
      </c>
      <c r="L25" s="26">
        <f>IFERROR(__xludf.DUMMYFUNCTION("IF(OR(L16="""",L20=""""),"""",IF(REGEXMATCH(L20,""W""),IF(L17&lt;0,((-100/L17))*10+L12,((L17/100)*10+L12)),-10+L12))"),-20.0)</f>
        <v>-20</v>
      </c>
      <c r="M25" s="14"/>
      <c r="N25" s="16" t="s">
        <v>89</v>
      </c>
      <c r="O25" s="10">
        <f>IFERROR(__xludf.DUMMYFUNCTION("IF(AND(C25="""",AND(D25="""",AND(E25="""",AND(F25="""",AND(G25="""",AND(H25="""",AND(I25="""",AND(J25="""",AND(K25="""",L25=""""))))))))),"""",(IF(C20="""",0,IF(REGEXMATCH(C20,""W""),IF(C17&lt;0,((-100/C17))*10,((C17/100)*10)),-10))+IF(D20="""",0,IF(REGEXMAT"&amp;"CH(D20,""W""),IF(D17&lt;0,((-100/D17))*10,((D17/100)*10)),-10))+IF(E20="""",0,IF(REGEXMATCH(E20,""W""),IF(E17&lt;0,((-100/E17))*10,((E17/100)*10)),-10))+IF(F20="""",0,IF(REGEXMATCH(F20,""W""),IF(F17&lt;0,((-100/F17))*10,((F17/100)*10)),-10))+IF(G20="""",0,IF(REGEX"&amp;"MATCH(G20,""W""),IF(G17&lt;0,((-100/G17))*10,((G17/100)*10)),-10))+IF(H20="""",0,IF(REGEXMATCH(H20,""W""),IF(H17&lt;0,((-100/H17))*10,((H17/100)*10)),-10))+IF(I20="""",0,IF(REGEXMATCH(I20,""W""),IF(I17&lt;0,((-100/I17))*10,((I17/100)*10)),-10))+IF(J20="""",0,IF(RE"&amp;"GEXMATCH(J20,""W""),IF(J17&lt;0,((-100/J17))*10,((J17/100)*10)),-10))+IF(K20="""",0,IF(REGEXMATCH(K20,""W""),IF(K17&lt;0,((-100/K17))*10,((K17/100)*10)),-10))+IF(L20="""",0,IF(REGEXMATCH(L20,""W""),IF(L17&lt;0,((-100/L17))*10,((L17/100)*10)),-10))))"),-31.473870674034742)</f>
        <v>-31.47387067</v>
      </c>
      <c r="P25" s="10">
        <f>IFERROR(__xludf.DUMMYFUNCTION("IF(AND(C25="""",AND(D25="""",AND(E25="""",AND(F25="""",AND(G25="""",AND(H25="""",AND(I25="""",AND(J25="""",AND(K25="""",L25=""""))))))))),"""",(P12+IF(C20="""",0,IF(REGEXMATCH(C20,""W""),IF(C17&lt;0,((-100/C17))*10,((C17/100)*10)),-10))+IF(D20="""",0,IF(REGE"&amp;"XMATCH(D20,""W""),IF(D17&lt;0,((-100/D17))*10,((D17/100)*10)),-10))+IF(E20="""",0,IF(REGEXMATCH(E20,""W""),IF(E17&lt;0,((-100/E17))*10,((E17/100)*10)),-10))+IF(F20="""",0,IF(REGEXMATCH(F20,""W""),IF(F17&lt;0,((-100/F17))*10,((F17/100)*10)),-10))+IF(G20="""",0,IF(R"&amp;"EGEXMATCH(G20,""W""),IF(G17&lt;0,((-100/G17))*10,((G17/100)*10)),-10))+IF(H20="""",0,IF(REGEXMATCH(H20,""W""),IF(H17&lt;0,((-100/H17))*10,((H17/100)*10)),-10))+IF(I20="""",0,IF(REGEXMATCH(I20,""W""),IF(I17&lt;0,((-100/I17))*10,((I17/100)*10)),-10))+IF(J20="""",0,I"&amp;"F(REGEXMATCH(J20,""W""),IF(J17&lt;0,((-100/J17))*10,((J17/100)*10)),-10))+IF(K20="""",0,IF(REGEXMATCH(K20,""W""),IF(K17&lt;0,((-100/K17))*10,((K17/100)*10)),-10))+IF(L20="""",0,IF(REGEXMATCH(L20,""W""),IF(L17&lt;0,((-100/L17))*10,((L17/100)*10)),-10))))"),-24.017210245916413)</f>
        <v>-24.01721025</v>
      </c>
      <c r="Q25" s="4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>
      <c r="A27" s="1" t="s">
        <v>149</v>
      </c>
      <c r="B27" s="2"/>
      <c r="C27" s="3" t="s">
        <v>1</v>
      </c>
      <c r="D27" s="3" t="s">
        <v>2</v>
      </c>
      <c r="E27" s="3" t="s">
        <v>3</v>
      </c>
      <c r="F27" s="3" t="s">
        <v>4</v>
      </c>
      <c r="G27" s="3" t="s">
        <v>5</v>
      </c>
      <c r="H27" s="3" t="s">
        <v>6</v>
      </c>
      <c r="I27" s="3" t="s">
        <v>7</v>
      </c>
      <c r="J27" s="3" t="s">
        <v>8</v>
      </c>
      <c r="K27" s="3" t="s">
        <v>9</v>
      </c>
      <c r="L27" s="3" t="s">
        <v>10</v>
      </c>
      <c r="M27" s="2"/>
      <c r="N27" s="4"/>
      <c r="O27" s="3" t="s">
        <v>11</v>
      </c>
      <c r="P27" s="4"/>
      <c r="Q27" s="4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>
      <c r="A29" s="3" t="s">
        <v>12</v>
      </c>
      <c r="B29" s="2"/>
      <c r="C29" s="18" t="s">
        <v>150</v>
      </c>
      <c r="D29" s="18" t="s">
        <v>151</v>
      </c>
      <c r="E29" s="19" t="s">
        <v>152</v>
      </c>
      <c r="F29" s="18" t="s">
        <v>153</v>
      </c>
      <c r="G29" s="5" t="s">
        <v>154</v>
      </c>
      <c r="H29" s="18" t="s">
        <v>155</v>
      </c>
      <c r="I29" s="19" t="s">
        <v>156</v>
      </c>
      <c r="J29" s="18" t="s">
        <v>157</v>
      </c>
      <c r="K29" s="18" t="s">
        <v>158</v>
      </c>
      <c r="L29" s="18" t="s">
        <v>159</v>
      </c>
      <c r="M29" s="2"/>
      <c r="N29" s="3" t="s">
        <v>13</v>
      </c>
      <c r="O29" s="7">
        <f>IF(AND(C30="",AND(D30="",AND(E30="",AND(F30="",AND(G30="",AND(H30="",AND(I30="",AND(J30="",AND(K30="",L30=""))))))))),"",IF(((IF(C30="",1,IF(C30&gt;0,(C30/100)+1,(100/((-1)*C30))+1)))*(IF(D30="",1,IF(D30&gt;0,(D30/100)+1,(100/((-1)*D30))+1)))*(IF(E30="",1,IF(E30&gt;0,(E30/100)+1,(100/((-1)*E30))+1)))*(IF(F30="",1,IF(F30&gt;0,(F30/100)+1,(100/((-1)*F30))+1)))*(IF(G30="",1,IF(G30&gt;0,(G30/100)+1,(100/((-1)*G30))+1)))*(IF(H30="",1,IF(H30&gt;0,(H30/100)+1,(100/((-1)*H30))+1)))*(IF(I30="",1,IF(I30&gt;0,(I30/100)+1,(100/((-1)*I30))+1)))*(IF(J30="",1,IF(J30&gt;0,(J30/100)+1,(100/((-1)*J30))+1)))*(IF(K30="",1,IF(K30&gt;0,(K30/100)+1,(100/((-1)*K30))+1)))*(IF(L30="",1,IF(L30&gt;0,(L30/100)+1,(100/((-1)*L30))+1))))&lt;2,((-100)/(((IF(C30="",1,IF(C30&gt;0,(C30/100)+1,(100/((-1)*C30))+1)))*(IF(D30="",1,IF(D30&gt;0,(D30/100)+1,(100/((-1)*D30))+1)))*(IF(E30="",1,IF(E30&gt;0,(E30/100)+1,(100/((-1)*E30))+1)))*(IF(F30="",1,IF(F30&gt;0,(F30/100)+1,(100/((-1)*F30))+1)))*(IF(G30="",1,IF(G30&gt;0,(G30/100)+1,(100/((-1)*G30))+1)))*(IF(H30="",1,IF(H30&gt;0,(H30/100)+1,(100/((-1)*H30))+1)))*(IF(I30="",1,IF(I30&gt;0,(I30/100)+1,(100/((-1)*I30))+1)))*(IF(J30="",1,IF(J30&gt;0,(J30/100)+1,(100/((-1)*J30))+1)))*(IF(K30="",1,IF(K30&gt;0,(K30/100)+1,(100/((-1)*K30))+1)))*(IF(L30="",1,IF(L30&gt;0,(L30/100)+1,(100/((-1)*L30))+1))))-1)),((((IF(C30="",1,IF(C30&gt;0,(C30/100)+1,(100/((-1)*C30))+1)))*(IF(D30="",1,IF(D30&gt;0,(D30/100)+1,(100/((-1)*D30))+1)))*(IF(E30="",1,IF(E30&gt;0,(E30/100)+1,(100/((-1)*E30))+1)))*(IF(F30="",1,IF(F30&gt;0,(F30/100)+1,(100/((-1)*F30))+1)))*(IF(G30="",1,IF(G30&gt;0,(G30/100)+1,(100/((-1)*G30))+1)))*(IF(H30="",1,IF(H30&gt;0,(H30/100)+1,(100/((-1)*H30))+1)))*(IF(I30="",1,IF(I30&gt;0,(I30/100)+1,(100/((-1)*I30))+1)))*(IF(J30="",1,IF(J30&gt;0,(J30/100)+1,(100/((-1)*J30))+1)))*(IF(K30="",1,IF(K30&gt;0,(K30/100)+1,(100/((-1)*K30))+1)))*(IF(L30="",1,IF(L30&gt;0,(L30/100)+1,(100/((-1)*L30))+1))))-1)*(100))))</f>
        <v>31517.61951</v>
      </c>
      <c r="P29" s="4"/>
      <c r="Q29" s="8" t="s">
        <v>35</v>
      </c>
    </row>
    <row r="30">
      <c r="A30" s="3" t="s">
        <v>13</v>
      </c>
      <c r="B30" s="2"/>
      <c r="C30" s="18">
        <v>-135.0</v>
      </c>
      <c r="D30" s="18">
        <v>-167.0</v>
      </c>
      <c r="E30" s="18">
        <v>-152.0</v>
      </c>
      <c r="F30" s="18">
        <v>-112.0</v>
      </c>
      <c r="G30" s="18">
        <v>110.0</v>
      </c>
      <c r="H30" s="18">
        <v>-120.0</v>
      </c>
      <c r="I30" s="18">
        <v>-130.0</v>
      </c>
      <c r="J30" s="18">
        <v>-105.0</v>
      </c>
      <c r="K30" s="18">
        <v>-159.0</v>
      </c>
      <c r="L30" s="18">
        <v>-149.0</v>
      </c>
      <c r="M30" s="2">
        <v>2.0</v>
      </c>
      <c r="N30" s="3" t="s">
        <v>36</v>
      </c>
      <c r="O30" s="10">
        <f>IF(AND(C30="",AND(D30="",AND(E30="",AND(F30="",AND(G30="",AND(H30="",AND(I30="",AND(J30="",AND(K30="",L30=""))))))))),"",10+IF((IF(((IF(C30="",1,IF(C30&gt;0,(C30/100)+1,(100/((-1)*C30))+1)))*(IF(D30="",1,IF(D30&gt;0,(D30/100)+1,(100/((-1)*D30))+1)))*(IF(E30="",1,IF(E30&gt;0,(E30/100)+1,(100/((-1)*E30))+1)))*(IF(F30="",1,IF(F30&gt;0,(F30/100)+1,(100/((-1)*F30))+1)))*(IF(G30="",1,IF(G30&gt;0,(G30/100)+1,(100/((-1)*G30))+1)))*(IF(H30="",1,IF(H30&gt;0,(H30/100)+1,(100/((-1)*H30))+1)))*(IF(I30="",1,IF(I30&gt;0,(I30/100)+1,(100/((-1)*I30))+1)))*(IF(J30="",1,IF(J30&gt;0,(J30/100)+1,(100/((-1)*J30))+1)))*(IF(K30="",1,IF(K30&gt;0,(K30/100)+1,(100/((-1)*K30))+1)))*(IF(L30="",1,IF(L30&gt;0,(L30/100)+1,(100/((-1)*L30))+1))))&lt;2,((-100)/(((IF(C30="",1,IF(C30&gt;0,(C30/100)+1,(100/((-1)*C30))+1)))*(IF(D30="",1,IF(D30&gt;0,(D30/100)+1,(100/((-1)*D30))+1)))*(IF(E30="",1,IF(E30&gt;0,(E30/100)+1,(100/((-1)*E30))+1)))*(IF(F30="",1,IF(F30&gt;0,(F30/100)+1,(100/((-1)*F30))+1)))*(IF(G30="",1,IF(G30&gt;0,(G30/100)+1,(100/((-1)*G30))+1)))*(IF(H30="",1,IF(H30&gt;0,(H30/100)+1,(100/((-1)*H30))+1)))*(IF(I30="",1,IF(I30&gt;0,(I30/100)+1,(100/((-1)*I30))+1)))*(IF(J30="",1,IF(J30&gt;0,(J30/100)+1,(100/((-1)*J30))+1)))*(IF(K30="",1,IF(K30&gt;0,(K30/100)+1,(100/((-1)*K30))+1)))*(IF(L30="",1,IF(L30&gt;0,(L30/100)+1,(100/((-1)*L30))+1))))-1)),((((IF(C30="",1,IF(C30&gt;0,(C30/100)+1,(100/((-1)*C30))+1)))*(IF(D30="",1,IF(D30&gt;0,(D30/100)+1,(100/((-1)*D30))+1)))*(IF(E30="",1,IF(E30&gt;0,(E30/100)+1,(100/((-1)*E30))+1)))*(IF(F30="",1,IF(F30&gt;0,(F30/100)+1,(100/((-1)*F30))+1)))*(IF(G30="",1,IF(G30&gt;0,(G30/100)+1,(100/((-1)*G30))+1)))*(IF(H30="",1,IF(H30&gt;0,(H30/100)+1,(100/((-1)*H30))+1)))*(IF(I30="",1,IF(I30&gt;0,(I30/100)+1,(100/((-1)*I30))+1)))*(IF(J30="",1,IF(J30&gt;0,(J30/100)+1,(100/((-1)*J30))+1)))*(IF(K30="",1,IF(K30&gt;0,(K30/100)+1,(100/((-1)*K30))+1)))*(IF(L30="",1,IF(L30&gt;0,(L30/100)+1,(100/((-1)*L30))+1))))-1)*(100))))&lt;0,(((-100)/((IF(((IF(C30="",1,IF(C30&gt;0,(C30/100)+1,(100/((-1)*C30))+1)))*(IF(D30="",1,IF(D30&gt;0,(D30/100)+1,(100/((-1)*D30))+1)))*(IF(E30="",1,IF(E30&gt;0,(E30/100)+1,(100/((-1)*E30))+1)))*(IF(F30="",1,IF(F30&gt;0,(F30/100)+1,(100/((-1)*F30))+1)))*(IF(G30="",1,IF(G30&gt;0,(G30/100)+1,(100/((-1)*G30))+1)))*(IF(H30="",1,IF(H30&gt;0,(H30/100)+1,(100/((-1)*H30))+1)))*(IF(I30="",1,IF(I30&gt;0,(I30/100)+1,(100/((-1)*I30))+1)))*(IF(J30="",1,IF(J30&gt;0,(J30/100)+1,(100/((-1)*J30))+1)))*(IF(K30="",1,IF(K30&gt;0,(K30/100)+1,(100/((-1)*K30))+1)))*(IF(L30="",1,IF(L30&gt;0,(L30/100)+1,(100/((-1)*L30))+1))))&lt;2,((-100)/(((IF(C30="",1,IF(C30&gt;0,(C30/100)+1,(100/((-1)*C30))+1)))*(IF(D30="",1,IF(D30&gt;0,(D30/100)+1,(100/((-1)*D30))+1)))*(IF(E30="",1,IF(E30&gt;0,(E30/100)+1,(100/((-1)*E30))+1)))*(IF(F30="",1,IF(F30&gt;0,(F30/100)+1,(100/((-1)*F30))+1)))*(IF(G30="",1,IF(G30&gt;0,(G30/100)+1,(100/((-1)*G30))+1)))*(IF(H30="",1,IF(H30&gt;0,(H30/100)+1,(100/((-1)*H30))+1)))*(IF(I30="",1,IF(I30&gt;0,(I30/100)+1,(100/((-1)*I30))+1)))*(IF(J30="",1,IF(J30&gt;0,(J30/100)+1,(100/((-1)*J30))+1)))*(IF(K30="",1,IF(K30&gt;0,(K30/100)+1,(100/((-1)*K30))+1)))*(IF(L30="",1,IF(L30&gt;0,(L30/100)+1,(100/((-1)*L30))+1))))-1)),((((IF(C30="",1,IF(C30&gt;0,(C30/100)+1,(100/((-1)*C30))+1)))*(IF(D30="",1,IF(D30&gt;0,(D30/100)+1,(100/((-1)*D30))+1)))*(IF(E30="",1,IF(E30&gt;0,(E30/100)+1,(100/((-1)*E30))+1)))*(IF(F30="",1,IF(F30&gt;0,(F30/100)+1,(100/((-1)*F30))+1)))*(IF(G30="",1,IF(G30&gt;0,(G30/100)+1,(100/((-1)*G30))+1)))*(IF(H30="",1,IF(H30&gt;0,(H30/100)+1,(100/((-1)*H30))+1)))*(IF(I30="",1,IF(I30&gt;0,(I30/100)+1,(100/((-1)*I30))+1)))*(IF(J30="",1,IF(J30&gt;0,(J30/100)+1,(100/((-1)*J30))+1)))*(IF(K30="",1,IF(K30&gt;0,(K30/100)+1,(100/((-1)*K30))+1)))*(IF(L30="",1,IF(L30&gt;0,(L30/100)+1,(100/((-1)*L30))+1))))-1)*(100))))))*10),(((IF(((IF(C30="",1,IF(C30&gt;0,(C30/100)+1,(100/((-1)*C30))+1)))*(IF(D30="",1,IF(D30&gt;0,(D30/100)+1,(100/((-1)*D30))+1)))*(IF(E30="",1,IF(E30&gt;0,(E30/100)+1,(100/((-1)*E30))+1)))*(IF(F30="",1,IF(F30&gt;0,(F30/100)+1,(100/((-1)*F30))+1)))*(IF(G30="",1,IF(G30&gt;0,(G30/100)+1,(100/((-1)*G30))+1)))*(IF(H30="",1,IF(H30&gt;0,(H30/100)+1,(100/((-1)*H30))+1)))*(IF(I30="",1,IF(I30&gt;0,(I30/100)+1,(100/((-1)*I30))+1)))*(IF(J30="",1,IF(J30&gt;0,(J30/100)+1,(100/((-1)*J30))+1)))*(IF(K30="",1,IF(K30&gt;0,(K30/100)+1,(100/((-1)*K30))+1)))*(IF(L30="",1,IF(L30&gt;0,(L30/100)+1,(100/((-1)*L30))+1))))&lt;2,((-100)/(((IF(C30="",1,IF(C30&gt;0,(C30/100)+1,(100/((-1)*C30))+1)))*(IF(D30="",1,IF(D30&gt;0,(D30/100)+1,(100/((-1)*D30))+1)))*(IF(E30="",1,IF(E30&gt;0,(E30/100)+1,(100/((-1)*E30))+1)))*(IF(F30="",1,IF(F30&gt;0,(F30/100)+1,(100/((-1)*F30))+1)))*(IF(G30="",1,IF(G30&gt;0,(G30/100)+1,(100/((-1)*G30))+1)))*(IF(H30="",1,IF(H30&gt;0,(H30/100)+1,(100/((-1)*H30))+1)))*(IF(I30="",1,IF(I30&gt;0,(I30/100)+1,(100/((-1)*I30))+1)))*(IF(J30="",1,IF(J30&gt;0,(J30/100)+1,(100/((-1)*J30))+1)))*(IF(K30="",1,IF(K30&gt;0,(K30/100)+1,(100/((-1)*K30))+1)))*(IF(L30="",1,IF(L30&gt;0,(L30/100)+1,(100/((-1)*L30))+1))))-1)),((((IF(C30="",1,IF(C30&gt;0,(C30/100)+1,(100/((-1)*C30))+1)))*(IF(D30="",1,IF(D30&gt;0,(D30/100)+1,(100/((-1)*D30))+1)))*(IF(E30="",1,IF(E30&gt;0,(E30/100)+1,(100/((-1)*E30))+1)))*(IF(F30="",1,IF(F30&gt;0,(F30/100)+1,(100/((-1)*F30))+1)))*(IF(G30="",1,IF(G30&gt;0,(G30/100)+1,(100/((-1)*G30))+1)))*(IF(H30="",1,IF(H30&gt;0,(H30/100)+1,(100/((-1)*H30))+1)))*(IF(I30="",1,IF(I30&gt;0,(I30/100)+1,(100/((-1)*I30))+1)))*(IF(J30="",1,IF(J30&gt;0,(J30/100)+1,(100/((-1)*J30))+1)))*(IF(K30="",1,IF(K30&gt;0,(K30/100)+1,(100/((-1)*K30))+1)))*(IF(L30="",1,IF(L30&gt;0,(L30/100)+1,(100/((-1)*L30))+1))))-1)*(100))))/100)*10)))</f>
        <v>3161.761951</v>
      </c>
      <c r="P30" s="4"/>
      <c r="Q30" s="4"/>
    </row>
    <row r="31">
      <c r="A31" s="3" t="s">
        <v>37</v>
      </c>
      <c r="B31" s="2"/>
      <c r="C31" s="18" t="s">
        <v>64</v>
      </c>
      <c r="D31" s="18" t="s">
        <v>171</v>
      </c>
      <c r="E31" s="18" t="s">
        <v>172</v>
      </c>
      <c r="F31" s="18" t="s">
        <v>173</v>
      </c>
      <c r="G31" s="18" t="s">
        <v>174</v>
      </c>
      <c r="H31" s="18" t="s">
        <v>175</v>
      </c>
      <c r="I31" s="18" t="s">
        <v>176</v>
      </c>
      <c r="J31" s="18" t="s">
        <v>177</v>
      </c>
      <c r="K31" s="18" t="s">
        <v>178</v>
      </c>
      <c r="L31" s="18" t="s">
        <v>179</v>
      </c>
      <c r="M31" s="2"/>
      <c r="N31" s="4"/>
      <c r="O31" s="4"/>
      <c r="P31" s="4"/>
      <c r="Q31" s="4"/>
    </row>
    <row r="32">
      <c r="A32" s="3" t="s">
        <v>48</v>
      </c>
      <c r="B32" s="2"/>
      <c r="C32" s="5" t="s">
        <v>122</v>
      </c>
      <c r="D32" s="5" t="s">
        <v>180</v>
      </c>
      <c r="E32" s="5" t="s">
        <v>181</v>
      </c>
      <c r="F32" s="5" t="s">
        <v>182</v>
      </c>
      <c r="G32" s="11">
        <v>45947.0</v>
      </c>
      <c r="H32" s="5" t="s">
        <v>183</v>
      </c>
      <c r="I32" s="5" t="s">
        <v>141</v>
      </c>
      <c r="J32" s="5" t="s">
        <v>184</v>
      </c>
      <c r="K32" s="5" t="s">
        <v>185</v>
      </c>
      <c r="L32" s="5" t="s">
        <v>186</v>
      </c>
      <c r="M32" s="2"/>
      <c r="N32" s="4"/>
      <c r="O32" s="3" t="s">
        <v>56</v>
      </c>
      <c r="P32" s="3" t="s">
        <v>57</v>
      </c>
      <c r="Q32" s="4"/>
    </row>
    <row r="33">
      <c r="A33" s="3" t="s">
        <v>59</v>
      </c>
      <c r="B33" s="2"/>
      <c r="C33" s="5" t="s">
        <v>60</v>
      </c>
      <c r="D33" s="5" t="s">
        <v>60</v>
      </c>
      <c r="E33" s="5" t="s">
        <v>62</v>
      </c>
      <c r="F33" s="5" t="s">
        <v>62</v>
      </c>
      <c r="G33" s="5" t="s">
        <v>62</v>
      </c>
      <c r="H33" s="5" t="s">
        <v>62</v>
      </c>
      <c r="I33" s="5" t="s">
        <v>62</v>
      </c>
      <c r="J33" s="5" t="s">
        <v>62</v>
      </c>
      <c r="K33" s="5" t="s">
        <v>60</v>
      </c>
      <c r="L33" s="5" t="s">
        <v>62</v>
      </c>
      <c r="M33" s="2"/>
      <c r="N33" s="3" t="s">
        <v>65</v>
      </c>
      <c r="O33" s="12" t="str">
        <f>IFERROR(__xludf.DUMMYFUNCTION("IF(OR(COUNTA(C30:L30) = 0, COUNTA(C33:L33) = 0), """", IFERROR(TEXTJOIN("", "", TRUE, FILTER(C27:L27, (C33:L33 = ""W"") * (C30:L30 = MAX(FILTER(C30:L30, C33:L33 = ""W""))))), """"))"),"Austin")</f>
        <v>Austin</v>
      </c>
      <c r="P33" s="12" t="str">
        <f>IFERROR(__xludf.DUMMYFUNCTION("IF(COUNTA(C38:L38) = 0, """", IFERROR(TEXTJOIN("", "", TRUE, FILTER(C27:L27, C38:L38 = MAX(C38:L38))), """"))"),"Austin")</f>
        <v>Austin</v>
      </c>
      <c r="Q33" s="4"/>
    </row>
    <row r="34">
      <c r="A34" s="1" t="s">
        <v>81</v>
      </c>
      <c r="B34" s="2"/>
      <c r="C34" s="4">
        <f t="shared" ref="C34:L34" si="9">IF(OR(C30="",C33=""),"",C21+COUNTIF(C33,"W"))</f>
        <v>3</v>
      </c>
      <c r="D34" s="4">
        <f t="shared" si="9"/>
        <v>3</v>
      </c>
      <c r="E34" s="4">
        <f t="shared" si="9"/>
        <v>0</v>
      </c>
      <c r="F34" s="4">
        <f t="shared" si="9"/>
        <v>1</v>
      </c>
      <c r="G34" s="4">
        <f t="shared" si="9"/>
        <v>1</v>
      </c>
      <c r="H34" s="4">
        <f t="shared" si="9"/>
        <v>0</v>
      </c>
      <c r="I34" s="4">
        <f t="shared" si="9"/>
        <v>1</v>
      </c>
      <c r="J34" s="4">
        <f t="shared" si="9"/>
        <v>2</v>
      </c>
      <c r="K34" s="4">
        <f t="shared" si="9"/>
        <v>2</v>
      </c>
      <c r="L34" s="4">
        <f t="shared" si="9"/>
        <v>0</v>
      </c>
      <c r="M34" s="2"/>
      <c r="N34" s="3" t="s">
        <v>82</v>
      </c>
      <c r="O34" s="4" t="str">
        <f>IFERROR(__xludf.DUMMYFUNCTION("IF(OR(COUNTA(C30:L30) = 0, COUNTA(C33:L33) = 0), """", IFERROR(TEXTJOIN("", "", TRUE, FILTER(C27:L27, (C33:L33 = ""L"") * (C30:L30 = MIN(FILTER(C30:L30, C33:L33 = ""L""))))), """"))"),"Clayton")</f>
        <v>Clayton</v>
      </c>
      <c r="P34" s="12" t="str">
        <f>IFERROR(__xludf.DUMMYFUNCTION("IF(COUNTA(C38:L38) = 0, """", IFERROR(TEXTJOIN("", "", TRUE, FILTER(C27:L27, C38:L38 = MIN(C38:L38))), """"))"),"Clayton, Jake, Trey")</f>
        <v>Clayton, Jake, Trey</v>
      </c>
      <c r="Q34" s="4"/>
    </row>
    <row r="35">
      <c r="A35" s="1" t="s">
        <v>83</v>
      </c>
      <c r="B35" s="2"/>
      <c r="C35" s="27">
        <f t="shared" ref="C35:L35" si="10">IF(OR(C30="",C33=""),"",C22+COUNTIF(C33,"L"))</f>
        <v>0</v>
      </c>
      <c r="D35" s="27">
        <f t="shared" si="10"/>
        <v>0</v>
      </c>
      <c r="E35" s="27">
        <f t="shared" si="10"/>
        <v>3</v>
      </c>
      <c r="F35" s="27">
        <f t="shared" si="10"/>
        <v>2</v>
      </c>
      <c r="G35" s="27">
        <f t="shared" si="10"/>
        <v>2</v>
      </c>
      <c r="H35" s="27">
        <f t="shared" si="10"/>
        <v>3</v>
      </c>
      <c r="I35" s="27">
        <f t="shared" si="10"/>
        <v>2</v>
      </c>
      <c r="J35" s="27">
        <f t="shared" si="10"/>
        <v>1</v>
      </c>
      <c r="K35" s="27">
        <f t="shared" si="10"/>
        <v>1</v>
      </c>
      <c r="L35" s="27">
        <f t="shared" si="10"/>
        <v>3</v>
      </c>
      <c r="M35" s="2"/>
      <c r="N35" s="3" t="s">
        <v>84</v>
      </c>
      <c r="O35" s="12" t="str">
        <f>IFERROR(__xludf.DUMMYFUNCTION("IF(COUNTA(C30:L30) = 0, """", IFERROR(TEXTJOIN("", "", TRUE, FILTER(C27:L27, C30:L30 = MAX(C30:L30))), """"))"),"Hunter")</f>
        <v>Hunter</v>
      </c>
      <c r="P35" s="4" t="str">
        <f>IFERROR(__xludf.DUMMYFUNCTION("IF(COUNTA(C30:L30) = 0, """", IFERROR(TEXTJOIN("", "", TRUE, FILTER(C27:L27, C37:L37 = MAX(C37:L37))), """"))"),"Hunter")</f>
        <v>Hunter</v>
      </c>
      <c r="Q35" s="4"/>
    </row>
    <row r="36">
      <c r="A36" s="3" t="s">
        <v>85</v>
      </c>
      <c r="B36" s="2"/>
      <c r="C36" s="24">
        <f t="shared" ref="C36:L36" si="11">IF(OR(C30="",C33=""),"",(C34/(C34+C35)))</f>
        <v>1</v>
      </c>
      <c r="D36" s="24">
        <f t="shared" si="11"/>
        <v>1</v>
      </c>
      <c r="E36" s="24">
        <f t="shared" si="11"/>
        <v>0</v>
      </c>
      <c r="F36" s="24">
        <f t="shared" si="11"/>
        <v>0.3333333333</v>
      </c>
      <c r="G36" s="24">
        <f t="shared" si="11"/>
        <v>0.3333333333</v>
      </c>
      <c r="H36" s="24">
        <f t="shared" si="11"/>
        <v>0</v>
      </c>
      <c r="I36" s="24">
        <f t="shared" si="11"/>
        <v>0.3333333333</v>
      </c>
      <c r="J36" s="24">
        <f t="shared" si="11"/>
        <v>0.6666666667</v>
      </c>
      <c r="K36" s="24">
        <f t="shared" si="11"/>
        <v>0.6666666667</v>
      </c>
      <c r="L36" s="24">
        <f t="shared" si="11"/>
        <v>0</v>
      </c>
      <c r="M36" s="14"/>
      <c r="N36" s="3" t="s">
        <v>86</v>
      </c>
      <c r="O36" s="4" t="str">
        <f>IFERROR(__xludf.DUMMYFUNCTION("IF(COUNTA(C30:L30) = 0, """", IFERROR(TEXTJOIN("", "", TRUE, FILTER(C27:L27, C30:L30 = MIN(C30:L30))), """"))"),"Carson")</f>
        <v>Carson</v>
      </c>
      <c r="P36" s="4" t="str">
        <f>IFERROR(__xludf.DUMMYFUNCTION("IF(COUNTA(C30:L30) = 0, """", IFERROR(TEXTJOIN("", "", TRUE, FILTER(C27:L27, C37:L37 = MIN(C37:L37))), """"))"),"Carson")</f>
        <v>Carson</v>
      </c>
      <c r="Q36" s="4"/>
    </row>
    <row r="37">
      <c r="A37" s="3" t="s">
        <v>87</v>
      </c>
      <c r="B37" s="2"/>
      <c r="C37" s="25">
        <f t="shared" ref="C37:L37" si="12">IF(C30="","",IF(((IF(C30 &lt;0,((-100/C30)+1),((C30/100)+1))+(IF(C24&lt;0,((-100/C24)+1),((C24/100)+1)))*(C21+C22))/(C21+C22+1))&lt;2,(-100/(((IF(C30 &lt;0,((-100/C30)+1),((C30/100)+1))+(IF(C24&lt;0,((-100/C24)+1),((C24/100)+1)))*(C21+C22))/(C21+C22+1))-1)),(((IF(C30 &lt;0,((-100/C30)+1),((C30/100)+1))+(IF(C24&lt;0,((-100/C24)+1),((C24/100)+1)))*(C21+C22))/(C21+C22+1))-1)*100))</f>
        <v>-136.1776368</v>
      </c>
      <c r="D37" s="25">
        <f t="shared" si="12"/>
        <v>-152.529274</v>
      </c>
      <c r="E37" s="25">
        <f t="shared" si="12"/>
        <v>-118.6846474</v>
      </c>
      <c r="F37" s="25">
        <f t="shared" si="12"/>
        <v>-115.5732802</v>
      </c>
      <c r="G37" s="25">
        <f t="shared" si="12"/>
        <v>106.03003</v>
      </c>
      <c r="H37" s="25">
        <f t="shared" si="12"/>
        <v>-102.189781</v>
      </c>
      <c r="I37" s="25">
        <f t="shared" si="12"/>
        <v>-134.0598538</v>
      </c>
      <c r="J37" s="25">
        <f t="shared" si="12"/>
        <v>-137.6074725</v>
      </c>
      <c r="K37" s="25">
        <f t="shared" si="12"/>
        <v>-137.1020426</v>
      </c>
      <c r="L37" s="25">
        <f t="shared" si="12"/>
        <v>-128.7933465</v>
      </c>
      <c r="M37" s="14"/>
      <c r="N37" s="4"/>
      <c r="O37" s="12"/>
      <c r="P37" s="12"/>
      <c r="Q37" s="4"/>
    </row>
    <row r="38">
      <c r="A38" s="16" t="s">
        <v>88</v>
      </c>
      <c r="B38" s="2"/>
      <c r="C38" s="26">
        <f>IFERROR(__xludf.DUMMYFUNCTION("IF(OR(C30="""",C33=""""),"""",IF(REGEXMATCH(C33,""W""),IF(C30&lt;0,((-100/C30))*10+C25,((C30/100)*10+C25)),-10+C25))"),22.030048916841366)</f>
        <v>22.03004892</v>
      </c>
      <c r="D38" s="26">
        <f>IFERROR(__xludf.DUMMYFUNCTION("IF(OR(D30="""",D33=""""),"""",IF(REGEXMATCH(D33,""W""),IF(D30&lt;0,((-100/D30))*10+D25,((D30/100)*10+D25)),-10+D25))"),19.668355596499307)</f>
        <v>19.6683556</v>
      </c>
      <c r="E38" s="26">
        <f>IFERROR(__xludf.DUMMYFUNCTION("IF(OR(E30="""",E33=""""),"""",IF(REGEXMATCH(E33,""W""),IF(E30&lt;0,((-100/E30))*10+E25,((E30/100)*10+E25)),-10+E25))"),-30.0)</f>
        <v>-30</v>
      </c>
      <c r="F38" s="26">
        <f>IFERROR(__xludf.DUMMYFUNCTION("IF(OR(F30="""",F33=""""),"""",IF(REGEXMATCH(F33,""W""),IF(F30&lt;0,((-100/F30))*10+F25,((F30/100)*10+F25)),-10+F25))"),-11.304347826086957)</f>
        <v>-11.30434783</v>
      </c>
      <c r="G38" s="26">
        <f>IFERROR(__xludf.DUMMYFUNCTION("IF(OR(G30="""",G33=""""),"""",IF(REGEXMATCH(G33,""W""),IF(G30&lt;0,((-100/G30))*10+G25,((G30/100)*10+G25)),-10+G25))"),-8.200000000000001)</f>
        <v>-8.2</v>
      </c>
      <c r="H38" s="26">
        <f>IFERROR(__xludf.DUMMYFUNCTION("IF(OR(H30="""",H33=""""),"""",IF(REGEXMATCH(H33,""W""),IF(H30&lt;0,((-100/H30))*10+H25,((H30/100)*10+H25)),-10+H25))"),-30.0)</f>
        <v>-30</v>
      </c>
      <c r="I38" s="26">
        <f>IFERROR(__xludf.DUMMYFUNCTION("IF(OR(I30="""",I33=""""),"""",IF(REGEXMATCH(I33,""W""),IF(I30&lt;0,((-100/I30))*10+I25,((I30/100)*10+I25)),-10+I25))"),-13.788819875776397)</f>
        <v>-13.78881988</v>
      </c>
      <c r="J38" s="26">
        <f>IFERROR(__xludf.DUMMYFUNCTION("IF(OR(J30="""",J33=""""),"""",IF(REGEXMATCH(J33,""W""),IF(J30&lt;0,((-100/J30))*10+J25,((J30/100)*10+J25)),-10+J25))"),2.277332128196436)</f>
        <v>2.277332128</v>
      </c>
      <c r="K38" s="26">
        <f>IFERROR(__xludf.DUMMYFUNCTION("IF(OR(K30="""",K33=""""),"""",IF(REGEXMATCH(K33,""W""),IF(K30&lt;0,((-100/K30))*10+K25,((K30/100)*10+K25)),-10+K25))"),4.984960350013671)</f>
        <v>4.98496035</v>
      </c>
      <c r="L38" s="26">
        <f>IFERROR(__xludf.DUMMYFUNCTION("IF(OR(L30="""",L33=""""),"""",IF(REGEXMATCH(L33,""W""),IF(L30&lt;0,((-100/L30))*10+L25,((L30/100)*10+L25)),-10+L25))"),-30.0)</f>
        <v>-30</v>
      </c>
      <c r="M38" s="14"/>
      <c r="N38" s="16" t="s">
        <v>89</v>
      </c>
      <c r="O38" s="10">
        <f>IFERROR(__xludf.DUMMYFUNCTION("IF(AND(C38="""",AND(D38="""",AND(E38="""",AND(F38="""",AND(G38="""",AND(H38="""",AND(I38="""",AND(J38="""",AND(K38="""",L38=""""))))))))),"""",(IF(C33="""",0,IF(REGEXMATCH(C33,""W""),IF(C30&lt;0,((-100/C30))*10,((C30/100)*10)),-10))+IF(D33="""",0,IF(REGEXMAT"&amp;"CH(D33,""W""),IF(D30&lt;0,((-100/D30))*10,((D30/100)*10)),-10))+IF(E33="""",0,IF(REGEXMATCH(E33,""W""),IF(E30&lt;0,((-100/E30))*10,((E30/100)*10)),-10))+IF(F33="""",0,IF(REGEXMATCH(F33,""W""),IF(F30&lt;0,((-100/F30))*10,((F30/100)*10)),-10))+IF(G33="""",0,IF(REGEX"&amp;"MATCH(G33,""W""),IF(G30&lt;0,((-100/G30))*10,((G30/100)*10)),-10))+IF(H33="""",0,IF(REGEXMATCH(H33,""W""),IF(H30&lt;0,((-100/H30))*10,((H30/100)*10)),-10))+IF(I33="""",0,IF(REGEXMATCH(I33,""W""),IF(I30&lt;0,((-100/I30))*10,((I30/100)*10)),-10))+IF(J33="""",0,IF(RE"&amp;"GEXMATCH(J33,""W""),IF(J30&lt;0,((-100/J30))*10,((J30/100)*10)),-10))+IF(K33="""",0,IF(REGEXMATCH(K33,""W""),IF(K30&lt;0,((-100/K30))*10,((K30/100)*10)),-10))+IF(L33="""",0,IF(REGEXMATCH(L33,""W""),IF(L30&lt;0,((-100/L30))*10,((L30/100)*10)),-10))))"),-50.31526046439616)</f>
        <v>-50.31526046</v>
      </c>
      <c r="P38" s="10">
        <f>IFERROR(__xludf.DUMMYFUNCTION("IF(AND(C38="""",AND(D38="""",AND(E38="""",AND(F38="""",AND(G38="""",AND(H38="""",AND(I38="""",AND(J38="""",AND(K38="""",L38=""""))))))))),"""",(P25+IF(C33="""",0,IF(REGEXMATCH(C33,""W""),IF(C30&lt;0,((-100/C30))*10,((C30/100)*10)),-10))+IF(D33="""",0,IF(REGE"&amp;"XMATCH(D33,""W""),IF(D30&lt;0,((-100/D30))*10,((D30/100)*10)),-10))+IF(E33="""",0,IF(REGEXMATCH(E33,""W""),IF(E30&lt;0,((-100/E30))*10,((E30/100)*10)),-10))+IF(F33="""",0,IF(REGEXMATCH(F33,""W""),IF(F30&lt;0,((-100/F30))*10,((F30/100)*10)),-10))+IF(G33="""",0,IF(R"&amp;"EGEXMATCH(G33,""W""),IF(G30&lt;0,((-100/G30))*10,((G30/100)*10)),-10))+IF(H33="""",0,IF(REGEXMATCH(H33,""W""),IF(H30&lt;0,((-100/H30))*10,((H30/100)*10)),-10))+IF(I33="""",0,IF(REGEXMATCH(I33,""W""),IF(I30&lt;0,((-100/I30))*10,((I30/100)*10)),-10))+IF(J33="""",0,I"&amp;"F(REGEXMATCH(J33,""W""),IF(J30&lt;0,((-100/J30))*10,((J30/100)*10)),-10))+IF(K33="""",0,IF(REGEXMATCH(K33,""W""),IF(K30&lt;0,((-100/K30))*10,((K30/100)*10)),-10))+IF(L33="""",0,IF(REGEXMATCH(L33,""W""),IF(L30&lt;0,((-100/L30))*10,((L30/100)*10)),-10))))"),-74.33247071031256)</f>
        <v>-74.33247071</v>
      </c>
      <c r="Q38" s="4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>
      <c r="A40" s="1" t="s">
        <v>205</v>
      </c>
      <c r="B40" s="2"/>
      <c r="C40" s="3" t="s">
        <v>1</v>
      </c>
      <c r="D40" s="3" t="s">
        <v>2</v>
      </c>
      <c r="E40" s="3" t="s">
        <v>3</v>
      </c>
      <c r="F40" s="3" t="s">
        <v>4</v>
      </c>
      <c r="G40" s="3" t="s">
        <v>5</v>
      </c>
      <c r="H40" s="3" t="s">
        <v>6</v>
      </c>
      <c r="I40" s="3" t="s">
        <v>7</v>
      </c>
      <c r="J40" s="3" t="s">
        <v>8</v>
      </c>
      <c r="K40" s="3" t="s">
        <v>9</v>
      </c>
      <c r="L40" s="3" t="s">
        <v>10</v>
      </c>
      <c r="M40" s="2"/>
      <c r="N40" s="4"/>
      <c r="O40" s="3" t="s">
        <v>11</v>
      </c>
      <c r="P40" s="4"/>
      <c r="Q40" s="4"/>
    </row>
    <row r="41">
      <c r="A41" s="2"/>
      <c r="B41" s="2"/>
      <c r="C41" s="2"/>
      <c r="D41" s="2"/>
      <c r="E41" s="28" t="s">
        <v>206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>
      <c r="A42" s="3" t="s">
        <v>12</v>
      </c>
      <c r="B42" s="2"/>
      <c r="C42" s="5" t="s">
        <v>151</v>
      </c>
      <c r="D42" s="5" t="s">
        <v>207</v>
      </c>
      <c r="E42" s="19" t="s">
        <v>208</v>
      </c>
      <c r="F42" s="5" t="s">
        <v>209</v>
      </c>
      <c r="G42" s="5" t="s">
        <v>210</v>
      </c>
      <c r="H42" s="5" t="s">
        <v>211</v>
      </c>
      <c r="I42" s="5" t="s">
        <v>212</v>
      </c>
      <c r="J42" s="5" t="s">
        <v>213</v>
      </c>
      <c r="K42" s="5" t="s">
        <v>214</v>
      </c>
      <c r="L42" s="5" t="s">
        <v>215</v>
      </c>
      <c r="M42" s="2"/>
      <c r="N42" s="3" t="s">
        <v>13</v>
      </c>
      <c r="O42" s="7">
        <f>IF(AND(C43="",AND(D43="",AND(E43="",AND(F43="",AND(G43="",AND(H43="",AND(I43="",AND(J43="",AND(K43="",L43=""))))))))),"",IF(((IF(C43="",1,IF(C43&gt;0,(C43/100)+1,(100/((-1)*C43))+1)))*(IF(D43="",1,IF(D43&gt;0,(D43/100)+1,(100/((-1)*D43))+1)))*(IF(E43="",1,IF(E43&gt;0,(E43/100)+1,(100/((-1)*E43))+1)))*(IF(F43="",1,IF(F43&gt;0,(F43/100)+1,(100/((-1)*F43))+1)))*(IF(G43="",1,IF(G43&gt;0,(G43/100)+1,(100/((-1)*G43))+1)))*(IF(H43="",1,IF(H43&gt;0,(H43/100)+1,(100/((-1)*H43))+1)))*(IF(I43="",1,IF(I43&gt;0,(I43/100)+1,(100/((-1)*I43))+1)))*(IF(J43="",1,IF(J43&gt;0,(J43/100)+1,(100/((-1)*J43))+1)))*(IF(K43="",1,IF(K43&gt;0,(K43/100)+1,(100/((-1)*K43))+1)))*(IF(L43="",1,IF(L43&gt;0,(L43/100)+1,(100/((-1)*L43))+1))))&lt;2,((-100)/(((IF(C43="",1,IF(C43&gt;0,(C43/100)+1,(100/((-1)*C43))+1)))*(IF(D43="",1,IF(D43&gt;0,(D43/100)+1,(100/((-1)*D43))+1)))*(IF(E43="",1,IF(E43&gt;0,(E43/100)+1,(100/((-1)*E43))+1)))*(IF(F43="",1,IF(F43&gt;0,(F43/100)+1,(100/((-1)*F43))+1)))*(IF(G43="",1,IF(G43&gt;0,(G43/100)+1,(100/((-1)*G43))+1)))*(IF(H43="",1,IF(H43&gt;0,(H43/100)+1,(100/((-1)*H43))+1)))*(IF(I43="",1,IF(I43&gt;0,(I43/100)+1,(100/((-1)*I43))+1)))*(IF(J43="",1,IF(J43&gt;0,(J43/100)+1,(100/((-1)*J43))+1)))*(IF(K43="",1,IF(K43&gt;0,(K43/100)+1,(100/((-1)*K43))+1)))*(IF(L43="",1,IF(L43&gt;0,(L43/100)+1,(100/((-1)*L43))+1))))-1)),((((IF(C43="",1,IF(C43&gt;0,(C43/100)+1,(100/((-1)*C43))+1)))*(IF(D43="",1,IF(D43&gt;0,(D43/100)+1,(100/((-1)*D43))+1)))*(IF(E43="",1,IF(E43&gt;0,(E43/100)+1,(100/((-1)*E43))+1)))*(IF(F43="",1,IF(F43&gt;0,(F43/100)+1,(100/((-1)*F43))+1)))*(IF(G43="",1,IF(G43&gt;0,(G43/100)+1,(100/((-1)*G43))+1)))*(IF(H43="",1,IF(H43&gt;0,(H43/100)+1,(100/((-1)*H43))+1)))*(IF(I43="",1,IF(I43&gt;0,(I43/100)+1,(100/((-1)*I43))+1)))*(IF(J43="",1,IF(J43&gt;0,(J43/100)+1,(100/((-1)*J43))+1)))*(IF(K43="",1,IF(K43&gt;0,(K43/100)+1,(100/((-1)*K43))+1)))*(IF(L43="",1,IF(L43&gt;0,(L43/100)+1,(100/((-1)*L43))+1))))-1)*(100))))</f>
        <v>53675.97404</v>
      </c>
      <c r="P42" s="4"/>
      <c r="Q42" s="8" t="s">
        <v>35</v>
      </c>
    </row>
    <row r="43">
      <c r="A43" s="3" t="s">
        <v>13</v>
      </c>
      <c r="B43" s="2"/>
      <c r="C43" s="5">
        <v>-145.0</v>
      </c>
      <c r="D43" s="5">
        <v>-130.0</v>
      </c>
      <c r="E43" s="5">
        <v>-152.0</v>
      </c>
      <c r="F43" s="5">
        <v>-125.0</v>
      </c>
      <c r="G43" s="5">
        <v>-119.0</v>
      </c>
      <c r="H43" s="5">
        <v>-112.0</v>
      </c>
      <c r="I43" s="5">
        <v>-105.0</v>
      </c>
      <c r="J43" s="5">
        <v>-109.0</v>
      </c>
      <c r="K43" s="5">
        <v>115.0</v>
      </c>
      <c r="L43" s="5">
        <v>115.0</v>
      </c>
      <c r="M43" s="2">
        <v>3.0</v>
      </c>
      <c r="N43" s="3" t="s">
        <v>36</v>
      </c>
      <c r="O43" s="10">
        <f>IF(AND(C43="",AND(D43="",AND(E43="",AND(F43="",AND(G43="",AND(H43="",AND(I43="",AND(J43="",AND(K43="",L43=""))))))))),"",10+IF((IF(((IF(C43="",1,IF(C43&gt;0,(C43/100)+1,(100/((-1)*C43))+1)))*(IF(D43="",1,IF(D43&gt;0,(D43/100)+1,(100/((-1)*D43))+1)))*(IF(E43="",1,IF(E43&gt;0,(E43/100)+1,(100/((-1)*E43))+1)))*(IF(F43="",1,IF(F43&gt;0,(F43/100)+1,(100/((-1)*F43))+1)))*(IF(G43="",1,IF(G43&gt;0,(G43/100)+1,(100/((-1)*G43))+1)))*(IF(H43="",1,IF(H43&gt;0,(H43/100)+1,(100/((-1)*H43))+1)))*(IF(I43="",1,IF(I43&gt;0,(I43/100)+1,(100/((-1)*I43))+1)))*(IF(J43="",1,IF(J43&gt;0,(J43/100)+1,(100/((-1)*J43))+1)))*(IF(K43="",1,IF(K43&gt;0,(K43/100)+1,(100/((-1)*K43))+1)))*(IF(L43="",1,IF(L43&gt;0,(L43/100)+1,(100/((-1)*L43))+1))))&lt;2,((-100)/(((IF(C43="",1,IF(C43&gt;0,(C43/100)+1,(100/((-1)*C43))+1)))*(IF(D43="",1,IF(D43&gt;0,(D43/100)+1,(100/((-1)*D43))+1)))*(IF(E43="",1,IF(E43&gt;0,(E43/100)+1,(100/((-1)*E43))+1)))*(IF(F43="",1,IF(F43&gt;0,(F43/100)+1,(100/((-1)*F43))+1)))*(IF(G43="",1,IF(G43&gt;0,(G43/100)+1,(100/((-1)*G43))+1)))*(IF(H43="",1,IF(H43&gt;0,(H43/100)+1,(100/((-1)*H43))+1)))*(IF(I43="",1,IF(I43&gt;0,(I43/100)+1,(100/((-1)*I43))+1)))*(IF(J43="",1,IF(J43&gt;0,(J43/100)+1,(100/((-1)*J43))+1)))*(IF(K43="",1,IF(K43&gt;0,(K43/100)+1,(100/((-1)*K43))+1)))*(IF(L43="",1,IF(L43&gt;0,(L43/100)+1,(100/((-1)*L43))+1))))-1)),((((IF(C43="",1,IF(C43&gt;0,(C43/100)+1,(100/((-1)*C43))+1)))*(IF(D43="",1,IF(D43&gt;0,(D43/100)+1,(100/((-1)*D43))+1)))*(IF(E43="",1,IF(E43&gt;0,(E43/100)+1,(100/((-1)*E43))+1)))*(IF(F43="",1,IF(F43&gt;0,(F43/100)+1,(100/((-1)*F43))+1)))*(IF(G43="",1,IF(G43&gt;0,(G43/100)+1,(100/((-1)*G43))+1)))*(IF(H43="",1,IF(H43&gt;0,(H43/100)+1,(100/((-1)*H43))+1)))*(IF(I43="",1,IF(I43&gt;0,(I43/100)+1,(100/((-1)*I43))+1)))*(IF(J43="",1,IF(J43&gt;0,(J43/100)+1,(100/((-1)*J43))+1)))*(IF(K43="",1,IF(K43&gt;0,(K43/100)+1,(100/((-1)*K43))+1)))*(IF(L43="",1,IF(L43&gt;0,(L43/100)+1,(100/((-1)*L43))+1))))-1)*(100))))&lt;0,(((-100)/((IF(((IF(C43="",1,IF(C43&gt;0,(C43/100)+1,(100/((-1)*C43))+1)))*(IF(D43="",1,IF(D43&gt;0,(D43/100)+1,(100/((-1)*D43))+1)))*(IF(E43="",1,IF(E43&gt;0,(E43/100)+1,(100/((-1)*E43))+1)))*(IF(F43="",1,IF(F43&gt;0,(F43/100)+1,(100/((-1)*F43))+1)))*(IF(G43="",1,IF(G43&gt;0,(G43/100)+1,(100/((-1)*G43))+1)))*(IF(H43="",1,IF(H43&gt;0,(H43/100)+1,(100/((-1)*H43))+1)))*(IF(I43="",1,IF(I43&gt;0,(I43/100)+1,(100/((-1)*I43))+1)))*(IF(J43="",1,IF(J43&gt;0,(J43/100)+1,(100/((-1)*J43))+1)))*(IF(K43="",1,IF(K43&gt;0,(K43/100)+1,(100/((-1)*K43))+1)))*(IF(L43="",1,IF(L43&gt;0,(L43/100)+1,(100/((-1)*L43))+1))))&lt;2,((-100)/(((IF(C43="",1,IF(C43&gt;0,(C43/100)+1,(100/((-1)*C43))+1)))*(IF(D43="",1,IF(D43&gt;0,(D43/100)+1,(100/((-1)*D43))+1)))*(IF(E43="",1,IF(E43&gt;0,(E43/100)+1,(100/((-1)*E43))+1)))*(IF(F43="",1,IF(F43&gt;0,(F43/100)+1,(100/((-1)*F43))+1)))*(IF(G43="",1,IF(G43&gt;0,(G43/100)+1,(100/((-1)*G43))+1)))*(IF(H43="",1,IF(H43&gt;0,(H43/100)+1,(100/((-1)*H43))+1)))*(IF(I43="",1,IF(I43&gt;0,(I43/100)+1,(100/((-1)*I43))+1)))*(IF(J43="",1,IF(J43&gt;0,(J43/100)+1,(100/((-1)*J43))+1)))*(IF(K43="",1,IF(K43&gt;0,(K43/100)+1,(100/((-1)*K43))+1)))*(IF(L43="",1,IF(L43&gt;0,(L43/100)+1,(100/((-1)*L43))+1))))-1)),((((IF(C43="",1,IF(C43&gt;0,(C43/100)+1,(100/((-1)*C43))+1)))*(IF(D43="",1,IF(D43&gt;0,(D43/100)+1,(100/((-1)*D43))+1)))*(IF(E43="",1,IF(E43&gt;0,(E43/100)+1,(100/((-1)*E43))+1)))*(IF(F43="",1,IF(F43&gt;0,(F43/100)+1,(100/((-1)*F43))+1)))*(IF(G43="",1,IF(G43&gt;0,(G43/100)+1,(100/((-1)*G43))+1)))*(IF(H43="",1,IF(H43&gt;0,(H43/100)+1,(100/((-1)*H43))+1)))*(IF(I43="",1,IF(I43&gt;0,(I43/100)+1,(100/((-1)*I43))+1)))*(IF(J43="",1,IF(J43&gt;0,(J43/100)+1,(100/((-1)*J43))+1)))*(IF(K43="",1,IF(K43&gt;0,(K43/100)+1,(100/((-1)*K43))+1)))*(IF(L43="",1,IF(L43&gt;0,(L43/100)+1,(100/((-1)*L43))+1))))-1)*(100))))))*10),(((IF(((IF(C43="",1,IF(C43&gt;0,(C43/100)+1,(100/((-1)*C43))+1)))*(IF(D43="",1,IF(D43&gt;0,(D43/100)+1,(100/((-1)*D43))+1)))*(IF(E43="",1,IF(E43&gt;0,(E43/100)+1,(100/((-1)*E43))+1)))*(IF(F43="",1,IF(F43&gt;0,(F43/100)+1,(100/((-1)*F43))+1)))*(IF(G43="",1,IF(G43&gt;0,(G43/100)+1,(100/((-1)*G43))+1)))*(IF(H43="",1,IF(H43&gt;0,(H43/100)+1,(100/((-1)*H43))+1)))*(IF(I43="",1,IF(I43&gt;0,(I43/100)+1,(100/((-1)*I43))+1)))*(IF(J43="",1,IF(J43&gt;0,(J43/100)+1,(100/((-1)*J43))+1)))*(IF(K43="",1,IF(K43&gt;0,(K43/100)+1,(100/((-1)*K43))+1)))*(IF(L43="",1,IF(L43&gt;0,(L43/100)+1,(100/((-1)*L43))+1))))&lt;2,((-100)/(((IF(C43="",1,IF(C43&gt;0,(C43/100)+1,(100/((-1)*C43))+1)))*(IF(D43="",1,IF(D43&gt;0,(D43/100)+1,(100/((-1)*D43))+1)))*(IF(E43="",1,IF(E43&gt;0,(E43/100)+1,(100/((-1)*E43))+1)))*(IF(F43="",1,IF(F43&gt;0,(F43/100)+1,(100/((-1)*F43))+1)))*(IF(G43="",1,IF(G43&gt;0,(G43/100)+1,(100/((-1)*G43))+1)))*(IF(H43="",1,IF(H43&gt;0,(H43/100)+1,(100/((-1)*H43))+1)))*(IF(I43="",1,IF(I43&gt;0,(I43/100)+1,(100/((-1)*I43))+1)))*(IF(J43="",1,IF(J43&gt;0,(J43/100)+1,(100/((-1)*J43))+1)))*(IF(K43="",1,IF(K43&gt;0,(K43/100)+1,(100/((-1)*K43))+1)))*(IF(L43="",1,IF(L43&gt;0,(L43/100)+1,(100/((-1)*L43))+1))))-1)),((((IF(C43="",1,IF(C43&gt;0,(C43/100)+1,(100/((-1)*C43))+1)))*(IF(D43="",1,IF(D43&gt;0,(D43/100)+1,(100/((-1)*D43))+1)))*(IF(E43="",1,IF(E43&gt;0,(E43/100)+1,(100/((-1)*E43))+1)))*(IF(F43="",1,IF(F43&gt;0,(F43/100)+1,(100/((-1)*F43))+1)))*(IF(G43="",1,IF(G43&gt;0,(G43/100)+1,(100/((-1)*G43))+1)))*(IF(H43="",1,IF(H43&gt;0,(H43/100)+1,(100/((-1)*H43))+1)))*(IF(I43="",1,IF(I43&gt;0,(I43/100)+1,(100/((-1)*I43))+1)))*(IF(J43="",1,IF(J43&gt;0,(J43/100)+1,(100/((-1)*J43))+1)))*(IF(K43="",1,IF(K43&gt;0,(K43/100)+1,(100/((-1)*K43))+1)))*(IF(L43="",1,IF(L43&gt;0,(L43/100)+1,(100/((-1)*L43))+1))))-1)*(100))))/100)*10)))</f>
        <v>5377.597404</v>
      </c>
      <c r="P43" s="4"/>
      <c r="Q43" s="4"/>
    </row>
    <row r="44">
      <c r="A44" s="3" t="s">
        <v>37</v>
      </c>
      <c r="B44" s="2"/>
      <c r="C44" s="5" t="s">
        <v>227</v>
      </c>
      <c r="D44" s="5" t="s">
        <v>228</v>
      </c>
      <c r="E44" s="5" t="s">
        <v>229</v>
      </c>
      <c r="F44" s="5" t="s">
        <v>230</v>
      </c>
      <c r="G44" s="5" t="s">
        <v>231</v>
      </c>
      <c r="H44" s="5" t="s">
        <v>232</v>
      </c>
      <c r="I44" s="5" t="s">
        <v>233</v>
      </c>
      <c r="J44" s="5" t="s">
        <v>234</v>
      </c>
      <c r="K44" s="5" t="s">
        <v>235</v>
      </c>
      <c r="L44" s="5" t="s">
        <v>236</v>
      </c>
      <c r="M44" s="2"/>
      <c r="N44" s="4"/>
      <c r="O44" s="4"/>
      <c r="P44" s="4"/>
      <c r="Q44" s="4"/>
    </row>
    <row r="45">
      <c r="A45" s="3" t="s">
        <v>48</v>
      </c>
      <c r="B45" s="2"/>
      <c r="C45" s="5" t="s">
        <v>237</v>
      </c>
      <c r="D45" s="5" t="s">
        <v>238</v>
      </c>
      <c r="E45" s="5" t="s">
        <v>239</v>
      </c>
      <c r="F45" s="5" t="s">
        <v>240</v>
      </c>
      <c r="G45" s="5" t="s">
        <v>241</v>
      </c>
      <c r="H45" s="5" t="s">
        <v>242</v>
      </c>
      <c r="I45" s="5" t="s">
        <v>243</v>
      </c>
      <c r="J45" s="5" t="s">
        <v>181</v>
      </c>
      <c r="K45" s="5" t="s">
        <v>244</v>
      </c>
      <c r="L45" s="5" t="s">
        <v>245</v>
      </c>
      <c r="M45" s="2"/>
      <c r="N45" s="4"/>
      <c r="O45" s="3" t="s">
        <v>56</v>
      </c>
      <c r="P45" s="3" t="s">
        <v>57</v>
      </c>
      <c r="Q45" s="4"/>
    </row>
    <row r="46">
      <c r="A46" s="3" t="s">
        <v>59</v>
      </c>
      <c r="B46" s="2"/>
      <c r="C46" s="5" t="s">
        <v>62</v>
      </c>
      <c r="D46" s="5" t="s">
        <v>60</v>
      </c>
      <c r="E46" s="5" t="s">
        <v>62</v>
      </c>
      <c r="F46" s="5" t="s">
        <v>62</v>
      </c>
      <c r="G46" s="5" t="s">
        <v>60</v>
      </c>
      <c r="H46" s="5" t="s">
        <v>60</v>
      </c>
      <c r="I46" s="5" t="s">
        <v>62</v>
      </c>
      <c r="J46" s="5" t="s">
        <v>62</v>
      </c>
      <c r="K46" s="5" t="s">
        <v>60</v>
      </c>
      <c r="L46" s="5" t="s">
        <v>60</v>
      </c>
      <c r="M46" s="2"/>
      <c r="N46" s="3" t="s">
        <v>65</v>
      </c>
      <c r="O46" s="12" t="str">
        <f>IFERROR(__xludf.DUMMYFUNCTION("IF(OR(COUNTA(C43:L43) = 0, COUNTA(C46:L46) = 0), """", IFERROR(TEXTJOIN("", "", TRUE, FILTER(C40:L40, (C46:L46 = ""W"") * (C43:L43 = MAX(FILTER(C43:L43, C46:L46 = ""W""))))), """"))"),"Taylon, Trey")</f>
        <v>Taylon, Trey</v>
      </c>
      <c r="P46" s="12" t="str">
        <f>IFERROR(__xludf.DUMMYFUNCTION("IF(COUNTA(C51:L51) = 0, """", IFERROR(TEXTJOIN("", "", TRUE, FILTER(C40:L40, C51:L51 = MAX(C51:L51))), """"))"),"Carson")</f>
        <v>Carson</v>
      </c>
      <c r="Q46" s="4"/>
    </row>
    <row r="47">
      <c r="A47" s="1" t="s">
        <v>81</v>
      </c>
      <c r="B47" s="2"/>
      <c r="C47" s="4">
        <f t="shared" ref="C47:L47" si="13">IF(OR(C43="",C46=""),"",C34+COUNTIF(C46,"W"))</f>
        <v>3</v>
      </c>
      <c r="D47" s="4">
        <f t="shared" si="13"/>
        <v>4</v>
      </c>
      <c r="E47" s="4">
        <f t="shared" si="13"/>
        <v>0</v>
      </c>
      <c r="F47" s="4">
        <f t="shared" si="13"/>
        <v>1</v>
      </c>
      <c r="G47" s="4">
        <f t="shared" si="13"/>
        <v>2</v>
      </c>
      <c r="H47" s="4">
        <f t="shared" si="13"/>
        <v>1</v>
      </c>
      <c r="I47" s="4">
        <f t="shared" si="13"/>
        <v>1</v>
      </c>
      <c r="J47" s="4">
        <f t="shared" si="13"/>
        <v>2</v>
      </c>
      <c r="K47" s="4">
        <f t="shared" si="13"/>
        <v>3</v>
      </c>
      <c r="L47" s="4">
        <f t="shared" si="13"/>
        <v>1</v>
      </c>
      <c r="M47" s="2"/>
      <c r="N47" s="3" t="s">
        <v>82</v>
      </c>
      <c r="O47" s="4" t="str">
        <f>IFERROR(__xludf.DUMMYFUNCTION("IF(OR(COUNTA(C43:L43) = 0, COUNTA(C46:L46) = 0), """", IFERROR(TEXTJOIN("", "", TRUE, FILTER(C40:L40, (C46:L46 = ""L"") * (C43:L43 = MIN(FILTER(C43:L43, C46:L46 = ""L""))))), """"))"),"Clayton")</f>
        <v>Clayton</v>
      </c>
      <c r="P47" s="12" t="str">
        <f>IFERROR(__xludf.DUMMYFUNCTION("IF(COUNTA(C51:L51) = 0, """", IFERROR(TEXTJOIN("", "", TRUE, FILTER(C40:L40, C51:L51 = MIN(C51:L51))), """"))"),"Clayton")</f>
        <v>Clayton</v>
      </c>
      <c r="Q47" s="4"/>
    </row>
    <row r="48">
      <c r="A48" s="1" t="s">
        <v>83</v>
      </c>
      <c r="B48" s="2"/>
      <c r="C48" s="27">
        <f t="shared" ref="C48:L48" si="14">IF(OR(C43="",C46=""),"",C35+COUNTIF(C46,"L"))</f>
        <v>1</v>
      </c>
      <c r="D48" s="27">
        <f t="shared" si="14"/>
        <v>0</v>
      </c>
      <c r="E48" s="27">
        <f t="shared" si="14"/>
        <v>4</v>
      </c>
      <c r="F48" s="27">
        <f t="shared" si="14"/>
        <v>3</v>
      </c>
      <c r="G48" s="27">
        <f t="shared" si="14"/>
        <v>2</v>
      </c>
      <c r="H48" s="27">
        <f t="shared" si="14"/>
        <v>3</v>
      </c>
      <c r="I48" s="27">
        <f t="shared" si="14"/>
        <v>3</v>
      </c>
      <c r="J48" s="27">
        <f t="shared" si="14"/>
        <v>2</v>
      </c>
      <c r="K48" s="27">
        <f t="shared" si="14"/>
        <v>1</v>
      </c>
      <c r="L48" s="27">
        <f t="shared" si="14"/>
        <v>3</v>
      </c>
      <c r="M48" s="2"/>
      <c r="N48" s="3" t="s">
        <v>84</v>
      </c>
      <c r="O48" s="12" t="str">
        <f>IFERROR(__xludf.DUMMYFUNCTION("IF(COUNTA(C43:L43) = 0, """", IFERROR(TEXTJOIN("", "", TRUE, FILTER(C40:L40, C43:L43 = MAX(C43:L43))), """"))"),"Taylon, Trey")</f>
        <v>Taylon, Trey</v>
      </c>
      <c r="P48" s="4" t="str">
        <f>IFERROR(__xludf.DUMMYFUNCTION("IF(COUNTA(C43:L43) = 0, """", IFERROR(TEXTJOIN("", "", TRUE, FILTER(C40:L40, C50:L50 = MAX(C50:L50))), """"))"),"Hunter")</f>
        <v>Hunter</v>
      </c>
      <c r="Q48" s="4"/>
    </row>
    <row r="49">
      <c r="A49" s="3" t="s">
        <v>85</v>
      </c>
      <c r="B49" s="2"/>
      <c r="C49" s="24">
        <f t="shared" ref="C49:L49" si="15">IF(OR(C43="",C46=""),"",(C47/(C47+C48)))</f>
        <v>0.75</v>
      </c>
      <c r="D49" s="24">
        <f t="shared" si="15"/>
        <v>1</v>
      </c>
      <c r="E49" s="24">
        <f t="shared" si="15"/>
        <v>0</v>
      </c>
      <c r="F49" s="24">
        <f t="shared" si="15"/>
        <v>0.25</v>
      </c>
      <c r="G49" s="24">
        <f t="shared" si="15"/>
        <v>0.5</v>
      </c>
      <c r="H49" s="24">
        <f t="shared" si="15"/>
        <v>0.25</v>
      </c>
      <c r="I49" s="24">
        <f t="shared" si="15"/>
        <v>0.25</v>
      </c>
      <c r="J49" s="24">
        <f t="shared" si="15"/>
        <v>0.5</v>
      </c>
      <c r="K49" s="24">
        <f t="shared" si="15"/>
        <v>0.75</v>
      </c>
      <c r="L49" s="24">
        <f t="shared" si="15"/>
        <v>0.25</v>
      </c>
      <c r="M49" s="14"/>
      <c r="N49" s="3" t="s">
        <v>86</v>
      </c>
      <c r="O49" s="4" t="str">
        <f>IFERROR(__xludf.DUMMYFUNCTION("IF(COUNTA(C43:L43) = 0, """", IFERROR(TEXTJOIN("", "", TRUE, FILTER(C40:L40, C43:L43 = MIN(C43:L43))), """"))"),"Clayton")</f>
        <v>Clayton</v>
      </c>
      <c r="P49" s="4" t="str">
        <f>IFERROR(__xludf.DUMMYFUNCTION("IF(COUNTA(C43:L43) = 0, """", IFERROR(TEXTJOIN("", "", TRUE, FILTER(C40:L40, C50:L50 = MIN(C50:L50))), """"))"),"Carson")</f>
        <v>Carson</v>
      </c>
      <c r="Q49" s="4"/>
    </row>
    <row r="50">
      <c r="A50" s="3" t="s">
        <v>87</v>
      </c>
      <c r="B50" s="2"/>
      <c r="C50" s="25">
        <f t="shared" ref="C50:L50" si="16">IF(C43="","",IF(((IF(C43 &lt;0,((-100/C43)+1),((C43/100)+1))+(IF(C37&lt;0,((-100/C37)+1),((C37/100)+1)))*(C34+C35))/(C34+C35+1))&lt;2,(-100/(((IF(C43 &lt;0,((-100/C43)+1),((C43/100)+1))+(IF(C37&lt;0,((-100/C37)+1),((C37/100)+1)))*(C34+C35))/(C34+C35+1))-1)),(((IF(C43 &lt;0,((-100/C43)+1),((C43/100)+1))+(IF(C37&lt;0,((-100/C37)+1),((C37/100)+1)))*(C34+C35))/(C34+C35+1))-1)*100))</f>
        <v>-138.2810255</v>
      </c>
      <c r="D50" s="25">
        <f t="shared" si="16"/>
        <v>-146.1952862</v>
      </c>
      <c r="E50" s="25">
        <f t="shared" si="16"/>
        <v>-125.5649789</v>
      </c>
      <c r="F50" s="25">
        <f t="shared" si="16"/>
        <v>-117.7941042</v>
      </c>
      <c r="G50" s="25">
        <f t="shared" si="16"/>
        <v>100.5309259</v>
      </c>
      <c r="H50" s="25">
        <f t="shared" si="16"/>
        <v>-104.4776119</v>
      </c>
      <c r="I50" s="25">
        <f t="shared" si="16"/>
        <v>-125.3844852</v>
      </c>
      <c r="J50" s="25">
        <f t="shared" si="16"/>
        <v>-129.1345094</v>
      </c>
      <c r="K50" s="25">
        <f t="shared" si="16"/>
        <v>-119.8268069</v>
      </c>
      <c r="L50" s="25">
        <f t="shared" si="16"/>
        <v>-114.9652287</v>
      </c>
      <c r="M50" s="14"/>
      <c r="N50" s="4"/>
      <c r="O50" s="12"/>
      <c r="P50" s="12"/>
      <c r="Q50" s="4"/>
    </row>
    <row r="51">
      <c r="A51" s="16" t="s">
        <v>88</v>
      </c>
      <c r="B51" s="2"/>
      <c r="C51" s="26">
        <f>IFERROR(__xludf.DUMMYFUNCTION("IF(OR(C43="""",C46=""""),"""",IF(REGEXMATCH(C46,""W""),IF(C43&lt;0,((-100/C43))*10+C38,((C43/100)*10+C38)),-10+C38))"),12.030048916841366)</f>
        <v>12.03004892</v>
      </c>
      <c r="D51" s="26">
        <f>IFERROR(__xludf.DUMMYFUNCTION("IF(OR(D43="""",D46=""""),"""",IF(REGEXMATCH(D46,""W""),IF(D43&lt;0,((-100/D43))*10+D38,((D43/100)*10+D38)),-10+D38))"),27.360663288807)</f>
        <v>27.36066329</v>
      </c>
      <c r="E51" s="26">
        <f>IFERROR(__xludf.DUMMYFUNCTION("IF(OR(E43="""",E46=""""),"""",IF(REGEXMATCH(E46,""W""),IF(E43&lt;0,((-100/E43))*10+E38,((E43/100)*10+E38)),-10+E38))"),-40.0)</f>
        <v>-40</v>
      </c>
      <c r="F51" s="26">
        <f>IFERROR(__xludf.DUMMYFUNCTION("IF(OR(F43="""",F46=""""),"""",IF(REGEXMATCH(F46,""W""),IF(F43&lt;0,((-100/F43))*10+F38,((F43/100)*10+F38)),-10+F38))"),-21.304347826086957)</f>
        <v>-21.30434783</v>
      </c>
      <c r="G51" s="26">
        <f>IFERROR(__xludf.DUMMYFUNCTION("IF(OR(G43="""",G46=""""),"""",IF(REGEXMATCH(G46,""W""),IF(G43&lt;0,((-100/G43))*10+G38,((G43/100)*10+G38)),-10+G38))"),0.2033613445378144)</f>
        <v>0.2033613445</v>
      </c>
      <c r="H51" s="26">
        <f>IFERROR(__xludf.DUMMYFUNCTION("IF(OR(H43="""",H46=""""),"""",IF(REGEXMATCH(H46,""W""),IF(H43&lt;0,((-100/H43))*10+H38,((H43/100)*10+H38)),-10+H38))"),-21.07142857142857)</f>
        <v>-21.07142857</v>
      </c>
      <c r="I51" s="26">
        <f>IFERROR(__xludf.DUMMYFUNCTION("IF(OR(I43="""",I46=""""),"""",IF(REGEXMATCH(I46,""W""),IF(I43&lt;0,((-100/I43))*10+I38,((I43/100)*10+I38)),-10+I38))"),-23.788819875776397)</f>
        <v>-23.78881988</v>
      </c>
      <c r="J51" s="26">
        <f>IFERROR(__xludf.DUMMYFUNCTION("IF(OR(J43="""",J46=""""),"""",IF(REGEXMATCH(J46,""W""),IF(J43&lt;0,((-100/J43))*10+J38,((J43/100)*10+J38)),-10+J38))"),-7.722667871803564)</f>
        <v>-7.722667872</v>
      </c>
      <c r="K51" s="26">
        <f>IFERROR(__xludf.DUMMYFUNCTION("IF(OR(K43="""",K46=""""),"""",IF(REGEXMATCH(K46,""W""),IF(K43&lt;0,((-100/K43))*10+K38,((K43/100)*10+K38)),-10+K38))"),16.484960350013672)</f>
        <v>16.48496035</v>
      </c>
      <c r="L51" s="26">
        <f>IFERROR(__xludf.DUMMYFUNCTION("IF(OR(L43="""",L46=""""),"""",IF(REGEXMATCH(L46,""W""),IF(L43&lt;0,((-100/L43))*10+L38,((L43/100)*10+L38)),-10+L38))"),-18.5)</f>
        <v>-18.5</v>
      </c>
      <c r="M51" s="14"/>
      <c r="N51" s="16" t="s">
        <v>89</v>
      </c>
      <c r="O51" s="10">
        <f>IFERROR(__xludf.DUMMYFUNCTION("IF(AND(C51="""",AND(D51="""",AND(E51="""",AND(F51="""",AND(G51="""",AND(H51="""",AND(I51="""",AND(J51="""",AND(K51="""",L51=""""))))))))),"""",(IF(C46="""",0,IF(REGEXMATCH(C46,""W""),IF(C43&lt;0,((-100/C43))*10,((C43/100)*10)),-10))+IF(D46="""",0,IF(REGEXMAT"&amp;"CH(D46,""W""),IF(D43&lt;0,((-100/D43))*10,((D43/100)*10)),-10))+IF(E46="""",0,IF(REGEXMATCH(E46,""W""),IF(E43&lt;0,((-100/E43))*10,((E43/100)*10)),-10))+IF(F46="""",0,IF(REGEXMATCH(F46,""W""),IF(F43&lt;0,((-100/F43))*10,((F43/100)*10)),-10))+IF(G46="""",0,IF(REGEX"&amp;"MATCH(G46,""W""),IF(G43&lt;0,((-100/G43))*10,((G43/100)*10)),-10))+IF(H46="""",0,IF(REGEXMATCH(H46,""W""),IF(H43&lt;0,((-100/H43))*10,((H43/100)*10)),-10))+IF(I46="""",0,IF(REGEXMATCH(I46,""W""),IF(I43&lt;0,((-100/I43))*10,((I43/100)*10)),-10))+IF(J46="""",0,IF(RE"&amp;"GEXMATCH(J46,""W""),IF(J43&lt;0,((-100/J43))*10,((J43/100)*10)),-10))+IF(K46="""",0,IF(REGEXMATCH(K46,""W""),IF(K43&lt;0,((-100/K43))*10,((K43/100)*10)),-10))+IF(L46="""",0,IF(REGEXMATCH(L46,""W""),IF(L43&lt;0,((-100/L43))*10,((L43/100)*10)),-10))))"),-1.9757595345830623)</f>
        <v>-1.975759535</v>
      </c>
      <c r="P51" s="10">
        <f>IFERROR(__xludf.DUMMYFUNCTION("IF(AND(C51="""",AND(D51="""",AND(E51="""",AND(F51="""",AND(G51="""",AND(H51="""",AND(I51="""",AND(J51="""",AND(K51="""",L51=""""))))))))),"""",(P38+IF(C46="""",0,IF(REGEXMATCH(C46,""W""),IF(C43&lt;0,((-100/C43))*10,((C43/100)*10)),-10))+IF(D46="""",0,IF(REGE"&amp;"XMATCH(D46,""W""),IF(D43&lt;0,((-100/D43))*10,((D43/100)*10)),-10))+IF(E46="""",0,IF(REGEXMATCH(E46,""W""),IF(E43&lt;0,((-100/E43))*10,((E43/100)*10)),-10))+IF(F46="""",0,IF(REGEXMATCH(F46,""W""),IF(F43&lt;0,((-100/F43))*10,((F43/100)*10)),-10))+IF(G46="""",0,IF(R"&amp;"EGEXMATCH(G46,""W""),IF(G43&lt;0,((-100/G43))*10,((G43/100)*10)),-10))+IF(H46="""",0,IF(REGEXMATCH(H46,""W""),IF(H43&lt;0,((-100/H43))*10,((H43/100)*10)),-10))+IF(I46="""",0,IF(REGEXMATCH(I46,""W""),IF(I43&lt;0,((-100/I43))*10,((I43/100)*10)),-10))+IF(J46="""",0,I"&amp;"F(REGEXMATCH(J46,""W""),IF(J43&lt;0,((-100/J43))*10,((J43/100)*10)),-10))+IF(K46="""",0,IF(REGEXMATCH(K46,""W""),IF(K43&lt;0,((-100/K43))*10,((K43/100)*10)),-10))+IF(L46="""",0,IF(REGEXMATCH(L46,""W""),IF(L43&lt;0,((-100/L43))*10,((L43/100)*10)),-10))))"),-76.30823024489563)</f>
        <v>-76.30823024</v>
      </c>
      <c r="Q51" s="4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>
      <c r="A53" s="1" t="s">
        <v>246</v>
      </c>
      <c r="B53" s="2"/>
      <c r="C53" s="3" t="s">
        <v>1</v>
      </c>
      <c r="D53" s="3" t="s">
        <v>2</v>
      </c>
      <c r="E53" s="3" t="s">
        <v>3</v>
      </c>
      <c r="F53" s="3" t="s">
        <v>4</v>
      </c>
      <c r="G53" s="3" t="s">
        <v>5</v>
      </c>
      <c r="H53" s="3" t="s">
        <v>6</v>
      </c>
      <c r="I53" s="3" t="s">
        <v>7</v>
      </c>
      <c r="J53" s="3" t="s">
        <v>8</v>
      </c>
      <c r="K53" s="3" t="s">
        <v>9</v>
      </c>
      <c r="L53" s="3" t="s">
        <v>10</v>
      </c>
      <c r="M53" s="2"/>
      <c r="N53" s="4"/>
      <c r="O53" s="3" t="s">
        <v>11</v>
      </c>
      <c r="P53" s="4"/>
      <c r="Q53" s="4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>
      <c r="A55" s="3" t="s">
        <v>12</v>
      </c>
      <c r="B55" s="2"/>
      <c r="C55" s="5" t="s">
        <v>247</v>
      </c>
      <c r="D55" s="5" t="s">
        <v>248</v>
      </c>
      <c r="E55" s="19" t="s">
        <v>249</v>
      </c>
      <c r="F55" s="5" t="s">
        <v>158</v>
      </c>
      <c r="G55" s="5" t="s">
        <v>250</v>
      </c>
      <c r="H55" s="5" t="s">
        <v>251</v>
      </c>
      <c r="I55" s="5" t="s">
        <v>151</v>
      </c>
      <c r="J55" s="5" t="s">
        <v>252</v>
      </c>
      <c r="K55" s="5" t="s">
        <v>253</v>
      </c>
      <c r="L55" s="5" t="s">
        <v>254</v>
      </c>
      <c r="M55" s="2"/>
      <c r="N55" s="3" t="s">
        <v>13</v>
      </c>
      <c r="O55" s="7">
        <f>IF(AND(C56="",AND(D56="",AND(E56="",AND(F56="",AND(G56="",AND(H56="",AND(I56="",AND(J56="",AND(K56="",L56=""))))))))),"",IF(((IF(C56="",1,IF(C56&gt;0,(C56/100)+1,(100/((-1)*C56))+1)))*(IF(D56="",1,IF(D56&gt;0,(D56/100)+1,(100/((-1)*D56))+1)))*(IF(E56="",1,IF(E56&gt;0,(E56/100)+1,(100/((-1)*E56))+1)))*(IF(F56="",1,IF(F56&gt;0,(F56/100)+1,(100/((-1)*F56))+1)))*(IF(G56="",1,IF(G56&gt;0,(G56/100)+1,(100/((-1)*G56))+1)))*(IF(H56="",1,IF(H56&gt;0,(H56/100)+1,(100/((-1)*H56))+1)))*(IF(I56="",1,IF(I56&gt;0,(I56/100)+1,(100/((-1)*I56))+1)))*(IF(J56="",1,IF(J56&gt;0,(J56/100)+1,(100/((-1)*J56))+1)))*(IF(K56="",1,IF(K56&gt;0,(K56/100)+1,(100/((-1)*K56))+1)))*(IF(L56="",1,IF(L56&gt;0,(L56/100)+1,(100/((-1)*L56))+1))))&lt;2,((-100)/(((IF(C56="",1,IF(C56&gt;0,(C56/100)+1,(100/((-1)*C56))+1)))*(IF(D56="",1,IF(D56&gt;0,(D56/100)+1,(100/((-1)*D56))+1)))*(IF(E56="",1,IF(E56&gt;0,(E56/100)+1,(100/((-1)*E56))+1)))*(IF(F56="",1,IF(F56&gt;0,(F56/100)+1,(100/((-1)*F56))+1)))*(IF(G56="",1,IF(G56&gt;0,(G56/100)+1,(100/((-1)*G56))+1)))*(IF(H56="",1,IF(H56&gt;0,(H56/100)+1,(100/((-1)*H56))+1)))*(IF(I56="",1,IF(I56&gt;0,(I56/100)+1,(100/((-1)*I56))+1)))*(IF(J56="",1,IF(J56&gt;0,(J56/100)+1,(100/((-1)*J56))+1)))*(IF(K56="",1,IF(K56&gt;0,(K56/100)+1,(100/((-1)*K56))+1)))*(IF(L56="",1,IF(L56&gt;0,(L56/100)+1,(100/((-1)*L56))+1))))-1)),((((IF(C56="",1,IF(C56&gt;0,(C56/100)+1,(100/((-1)*C56))+1)))*(IF(D56="",1,IF(D56&gt;0,(D56/100)+1,(100/((-1)*D56))+1)))*(IF(E56="",1,IF(E56&gt;0,(E56/100)+1,(100/((-1)*E56))+1)))*(IF(F56="",1,IF(F56&gt;0,(F56/100)+1,(100/((-1)*F56))+1)))*(IF(G56="",1,IF(G56&gt;0,(G56/100)+1,(100/((-1)*G56))+1)))*(IF(H56="",1,IF(H56&gt;0,(H56/100)+1,(100/((-1)*H56))+1)))*(IF(I56="",1,IF(I56&gt;0,(I56/100)+1,(100/((-1)*I56))+1)))*(IF(J56="",1,IF(J56&gt;0,(J56/100)+1,(100/((-1)*J56))+1)))*(IF(K56="",1,IF(K56&gt;0,(K56/100)+1,(100/((-1)*K56))+1)))*(IF(L56="",1,IF(L56&gt;0,(L56/100)+1,(100/((-1)*L56))+1))))-1)*(100))))</f>
        <v>46444.86563</v>
      </c>
      <c r="P55" s="4"/>
      <c r="Q55" s="8" t="s">
        <v>35</v>
      </c>
    </row>
    <row r="56">
      <c r="A56" s="3" t="s">
        <v>13</v>
      </c>
      <c r="B56" s="2"/>
      <c r="C56" s="5">
        <v>-112.0</v>
      </c>
      <c r="D56" s="5">
        <v>-159.0</v>
      </c>
      <c r="E56" s="5">
        <v>-135.0</v>
      </c>
      <c r="F56" s="5">
        <v>-159.0</v>
      </c>
      <c r="G56" s="5">
        <v>100.0</v>
      </c>
      <c r="H56" s="5">
        <v>190.0</v>
      </c>
      <c r="I56" s="5">
        <v>-200.0</v>
      </c>
      <c r="J56" s="5">
        <v>-120.0</v>
      </c>
      <c r="K56" s="5">
        <v>-135.0</v>
      </c>
      <c r="L56" s="5">
        <v>-109.0</v>
      </c>
      <c r="M56" s="2">
        <v>4.0</v>
      </c>
      <c r="N56" s="3" t="s">
        <v>36</v>
      </c>
      <c r="O56" s="10">
        <f>IF(AND(C56="",AND(D56="",AND(E56="",AND(F56="",AND(G56="",AND(H56="",AND(I56="",AND(J56="",AND(K56="",L56=""))))))))),"",10+IF((IF(((IF(C56="",1,IF(C56&gt;0,(C56/100)+1,(100/((-1)*C56))+1)))*(IF(D56="",1,IF(D56&gt;0,(D56/100)+1,(100/((-1)*D56))+1)))*(IF(E56="",1,IF(E56&gt;0,(E56/100)+1,(100/((-1)*E56))+1)))*(IF(F56="",1,IF(F56&gt;0,(F56/100)+1,(100/((-1)*F56))+1)))*(IF(G56="",1,IF(G56&gt;0,(G56/100)+1,(100/((-1)*G56))+1)))*(IF(H56="",1,IF(H56&gt;0,(H56/100)+1,(100/((-1)*H56))+1)))*(IF(I56="",1,IF(I56&gt;0,(I56/100)+1,(100/((-1)*I56))+1)))*(IF(J56="",1,IF(J56&gt;0,(J56/100)+1,(100/((-1)*J56))+1)))*(IF(K56="",1,IF(K56&gt;0,(K56/100)+1,(100/((-1)*K56))+1)))*(IF(L56="",1,IF(L56&gt;0,(L56/100)+1,(100/((-1)*L56))+1))))&lt;2,((-100)/(((IF(C56="",1,IF(C56&gt;0,(C56/100)+1,(100/((-1)*C56))+1)))*(IF(D56="",1,IF(D56&gt;0,(D56/100)+1,(100/((-1)*D56))+1)))*(IF(E56="",1,IF(E56&gt;0,(E56/100)+1,(100/((-1)*E56))+1)))*(IF(F56="",1,IF(F56&gt;0,(F56/100)+1,(100/((-1)*F56))+1)))*(IF(G56="",1,IF(G56&gt;0,(G56/100)+1,(100/((-1)*G56))+1)))*(IF(H56="",1,IF(H56&gt;0,(H56/100)+1,(100/((-1)*H56))+1)))*(IF(I56="",1,IF(I56&gt;0,(I56/100)+1,(100/((-1)*I56))+1)))*(IF(J56="",1,IF(J56&gt;0,(J56/100)+1,(100/((-1)*J56))+1)))*(IF(K56="",1,IF(K56&gt;0,(K56/100)+1,(100/((-1)*K56))+1)))*(IF(L56="",1,IF(L56&gt;0,(L56/100)+1,(100/((-1)*L56))+1))))-1)),((((IF(C56="",1,IF(C56&gt;0,(C56/100)+1,(100/((-1)*C56))+1)))*(IF(D56="",1,IF(D56&gt;0,(D56/100)+1,(100/((-1)*D56))+1)))*(IF(E56="",1,IF(E56&gt;0,(E56/100)+1,(100/((-1)*E56))+1)))*(IF(F56="",1,IF(F56&gt;0,(F56/100)+1,(100/((-1)*F56))+1)))*(IF(G56="",1,IF(G56&gt;0,(G56/100)+1,(100/((-1)*G56))+1)))*(IF(H56="",1,IF(H56&gt;0,(H56/100)+1,(100/((-1)*H56))+1)))*(IF(I56="",1,IF(I56&gt;0,(I56/100)+1,(100/((-1)*I56))+1)))*(IF(J56="",1,IF(J56&gt;0,(J56/100)+1,(100/((-1)*J56))+1)))*(IF(K56="",1,IF(K56&gt;0,(K56/100)+1,(100/((-1)*K56))+1)))*(IF(L56="",1,IF(L56&gt;0,(L56/100)+1,(100/((-1)*L56))+1))))-1)*(100))))&lt;0,(((-100)/((IF(((IF(C56="",1,IF(C56&gt;0,(C56/100)+1,(100/((-1)*C56))+1)))*(IF(D56="",1,IF(D56&gt;0,(D56/100)+1,(100/((-1)*D56))+1)))*(IF(E56="",1,IF(E56&gt;0,(E56/100)+1,(100/((-1)*E56))+1)))*(IF(F56="",1,IF(F56&gt;0,(F56/100)+1,(100/((-1)*F56))+1)))*(IF(G56="",1,IF(G56&gt;0,(G56/100)+1,(100/((-1)*G56))+1)))*(IF(H56="",1,IF(H56&gt;0,(H56/100)+1,(100/((-1)*H56))+1)))*(IF(I56="",1,IF(I56&gt;0,(I56/100)+1,(100/((-1)*I56))+1)))*(IF(J56="",1,IF(J56&gt;0,(J56/100)+1,(100/((-1)*J56))+1)))*(IF(K56="",1,IF(K56&gt;0,(K56/100)+1,(100/((-1)*K56))+1)))*(IF(L56="",1,IF(L56&gt;0,(L56/100)+1,(100/((-1)*L56))+1))))&lt;2,((-100)/(((IF(C56="",1,IF(C56&gt;0,(C56/100)+1,(100/((-1)*C56))+1)))*(IF(D56="",1,IF(D56&gt;0,(D56/100)+1,(100/((-1)*D56))+1)))*(IF(E56="",1,IF(E56&gt;0,(E56/100)+1,(100/((-1)*E56))+1)))*(IF(F56="",1,IF(F56&gt;0,(F56/100)+1,(100/((-1)*F56))+1)))*(IF(G56="",1,IF(G56&gt;0,(G56/100)+1,(100/((-1)*G56))+1)))*(IF(H56="",1,IF(H56&gt;0,(H56/100)+1,(100/((-1)*H56))+1)))*(IF(I56="",1,IF(I56&gt;0,(I56/100)+1,(100/((-1)*I56))+1)))*(IF(J56="",1,IF(J56&gt;0,(J56/100)+1,(100/((-1)*J56))+1)))*(IF(K56="",1,IF(K56&gt;0,(K56/100)+1,(100/((-1)*K56))+1)))*(IF(L56="",1,IF(L56&gt;0,(L56/100)+1,(100/((-1)*L56))+1))))-1)),((((IF(C56="",1,IF(C56&gt;0,(C56/100)+1,(100/((-1)*C56))+1)))*(IF(D56="",1,IF(D56&gt;0,(D56/100)+1,(100/((-1)*D56))+1)))*(IF(E56="",1,IF(E56&gt;0,(E56/100)+1,(100/((-1)*E56))+1)))*(IF(F56="",1,IF(F56&gt;0,(F56/100)+1,(100/((-1)*F56))+1)))*(IF(G56="",1,IF(G56&gt;0,(G56/100)+1,(100/((-1)*G56))+1)))*(IF(H56="",1,IF(H56&gt;0,(H56/100)+1,(100/((-1)*H56))+1)))*(IF(I56="",1,IF(I56&gt;0,(I56/100)+1,(100/((-1)*I56))+1)))*(IF(J56="",1,IF(J56&gt;0,(J56/100)+1,(100/((-1)*J56))+1)))*(IF(K56="",1,IF(K56&gt;0,(K56/100)+1,(100/((-1)*K56))+1)))*(IF(L56="",1,IF(L56&gt;0,(L56/100)+1,(100/((-1)*L56))+1))))-1)*(100))))))*10),(((IF(((IF(C56="",1,IF(C56&gt;0,(C56/100)+1,(100/((-1)*C56))+1)))*(IF(D56="",1,IF(D56&gt;0,(D56/100)+1,(100/((-1)*D56))+1)))*(IF(E56="",1,IF(E56&gt;0,(E56/100)+1,(100/((-1)*E56))+1)))*(IF(F56="",1,IF(F56&gt;0,(F56/100)+1,(100/((-1)*F56))+1)))*(IF(G56="",1,IF(G56&gt;0,(G56/100)+1,(100/((-1)*G56))+1)))*(IF(H56="",1,IF(H56&gt;0,(H56/100)+1,(100/((-1)*H56))+1)))*(IF(I56="",1,IF(I56&gt;0,(I56/100)+1,(100/((-1)*I56))+1)))*(IF(J56="",1,IF(J56&gt;0,(J56/100)+1,(100/((-1)*J56))+1)))*(IF(K56="",1,IF(K56&gt;0,(K56/100)+1,(100/((-1)*K56))+1)))*(IF(L56="",1,IF(L56&gt;0,(L56/100)+1,(100/((-1)*L56))+1))))&lt;2,((-100)/(((IF(C56="",1,IF(C56&gt;0,(C56/100)+1,(100/((-1)*C56))+1)))*(IF(D56="",1,IF(D56&gt;0,(D56/100)+1,(100/((-1)*D56))+1)))*(IF(E56="",1,IF(E56&gt;0,(E56/100)+1,(100/((-1)*E56))+1)))*(IF(F56="",1,IF(F56&gt;0,(F56/100)+1,(100/((-1)*F56))+1)))*(IF(G56="",1,IF(G56&gt;0,(G56/100)+1,(100/((-1)*G56))+1)))*(IF(H56="",1,IF(H56&gt;0,(H56/100)+1,(100/((-1)*H56))+1)))*(IF(I56="",1,IF(I56&gt;0,(I56/100)+1,(100/((-1)*I56))+1)))*(IF(J56="",1,IF(J56&gt;0,(J56/100)+1,(100/((-1)*J56))+1)))*(IF(K56="",1,IF(K56&gt;0,(K56/100)+1,(100/((-1)*K56))+1)))*(IF(L56="",1,IF(L56&gt;0,(L56/100)+1,(100/((-1)*L56))+1))))-1)),((((IF(C56="",1,IF(C56&gt;0,(C56/100)+1,(100/((-1)*C56))+1)))*(IF(D56="",1,IF(D56&gt;0,(D56/100)+1,(100/((-1)*D56))+1)))*(IF(E56="",1,IF(E56&gt;0,(E56/100)+1,(100/((-1)*E56))+1)))*(IF(F56="",1,IF(F56&gt;0,(F56/100)+1,(100/((-1)*F56))+1)))*(IF(G56="",1,IF(G56&gt;0,(G56/100)+1,(100/((-1)*G56))+1)))*(IF(H56="",1,IF(H56&gt;0,(H56/100)+1,(100/((-1)*H56))+1)))*(IF(I56="",1,IF(I56&gt;0,(I56/100)+1,(100/((-1)*I56))+1)))*(IF(J56="",1,IF(J56&gt;0,(J56/100)+1,(100/((-1)*J56))+1)))*(IF(K56="",1,IF(K56&gt;0,(K56/100)+1,(100/((-1)*K56))+1)))*(IF(L56="",1,IF(L56&gt;0,(L56/100)+1,(100/((-1)*L56))+1))))-1)*(100))))/100)*10)))</f>
        <v>4654.486563</v>
      </c>
      <c r="P56" s="4"/>
      <c r="Q56" s="4"/>
    </row>
    <row r="57">
      <c r="A57" s="3" t="s">
        <v>37</v>
      </c>
      <c r="B57" s="2"/>
      <c r="C57" s="5" t="s">
        <v>283</v>
      </c>
      <c r="D57" s="5" t="s">
        <v>284</v>
      </c>
      <c r="E57" s="5" t="s">
        <v>285</v>
      </c>
      <c r="F57" s="5" t="s">
        <v>286</v>
      </c>
      <c r="G57" s="5" t="s">
        <v>287</v>
      </c>
      <c r="H57" s="5" t="s">
        <v>288</v>
      </c>
      <c r="I57" s="5" t="s">
        <v>289</v>
      </c>
      <c r="J57" s="5" t="s">
        <v>290</v>
      </c>
      <c r="K57" s="5" t="s">
        <v>291</v>
      </c>
      <c r="L57" s="5" t="s">
        <v>292</v>
      </c>
      <c r="M57" s="2"/>
      <c r="N57" s="4"/>
      <c r="O57" s="4"/>
      <c r="P57" s="4"/>
      <c r="Q57" s="4"/>
    </row>
    <row r="58">
      <c r="A58" s="3" t="s">
        <v>48</v>
      </c>
      <c r="B58" s="2"/>
      <c r="C58" s="5" t="s">
        <v>293</v>
      </c>
      <c r="D58" s="5" t="s">
        <v>294</v>
      </c>
      <c r="E58" s="5" t="s">
        <v>295</v>
      </c>
      <c r="F58" s="5" t="s">
        <v>296</v>
      </c>
      <c r="G58" s="5" t="s">
        <v>297</v>
      </c>
      <c r="H58" s="5" t="s">
        <v>298</v>
      </c>
      <c r="I58" s="5" t="s">
        <v>298</v>
      </c>
      <c r="J58" s="5" t="s">
        <v>299</v>
      </c>
      <c r="K58" s="5" t="s">
        <v>300</v>
      </c>
      <c r="L58" s="5" t="s">
        <v>301</v>
      </c>
      <c r="M58" s="2"/>
      <c r="N58" s="4"/>
      <c r="O58" s="3" t="s">
        <v>56</v>
      </c>
      <c r="P58" s="3" t="s">
        <v>57</v>
      </c>
      <c r="Q58" s="4"/>
    </row>
    <row r="59">
      <c r="A59" s="3" t="s">
        <v>59</v>
      </c>
      <c r="B59" s="2"/>
      <c r="C59" s="5" t="s">
        <v>60</v>
      </c>
      <c r="D59" s="5" t="s">
        <v>62</v>
      </c>
      <c r="E59" s="5" t="s">
        <v>60</v>
      </c>
      <c r="F59" s="5" t="s">
        <v>62</v>
      </c>
      <c r="G59" s="5" t="s">
        <v>60</v>
      </c>
      <c r="H59" s="5" t="s">
        <v>60</v>
      </c>
      <c r="I59" s="5" t="s">
        <v>60</v>
      </c>
      <c r="J59" s="5" t="s">
        <v>62</v>
      </c>
      <c r="K59" s="5" t="s">
        <v>60</v>
      </c>
      <c r="L59" s="5" t="s">
        <v>60</v>
      </c>
      <c r="M59" s="2"/>
      <c r="N59" s="3" t="s">
        <v>65</v>
      </c>
      <c r="O59" s="12" t="str">
        <f>IFERROR(__xludf.DUMMYFUNCTION("IF(OR(COUNTA(C56:L56) = 0, COUNTA(C59:L59) = 0), """", IFERROR(TEXTJOIN("", "", TRUE, FILTER(C53:L53, (C59:L59 = ""W"") * (C56:L56 = MAX(FILTER(C56:L56, C59:L59 = ""W""))))), """"))"),"Jake")</f>
        <v>Jake</v>
      </c>
      <c r="P59" s="12" t="str">
        <f>IFERROR(__xludf.DUMMYFUNCTION("IF(COUNTA(C64:L64) = 0, """", IFERROR(TEXTJOIN("", "", TRUE, FILTER(C53:L53, C64:L64 = MAX(C64:L64))), """"))"),"Taylon")</f>
        <v>Taylon</v>
      </c>
      <c r="Q59" s="4"/>
    </row>
    <row r="60">
      <c r="A60" s="1" t="s">
        <v>81</v>
      </c>
      <c r="B60" s="2"/>
      <c r="C60" s="4">
        <f t="shared" ref="C60:L60" si="17">IF(OR(C56="",C59=""),"",C47+COUNTIF(C59,"W"))</f>
        <v>4</v>
      </c>
      <c r="D60" s="4">
        <f t="shared" si="17"/>
        <v>4</v>
      </c>
      <c r="E60" s="4">
        <f t="shared" si="17"/>
        <v>1</v>
      </c>
      <c r="F60" s="4">
        <f t="shared" si="17"/>
        <v>1</v>
      </c>
      <c r="G60" s="4">
        <f t="shared" si="17"/>
        <v>3</v>
      </c>
      <c r="H60" s="4">
        <f t="shared" si="17"/>
        <v>2</v>
      </c>
      <c r="I60" s="4">
        <f t="shared" si="17"/>
        <v>2</v>
      </c>
      <c r="J60" s="4">
        <f t="shared" si="17"/>
        <v>2</v>
      </c>
      <c r="K60" s="4">
        <f t="shared" si="17"/>
        <v>4</v>
      </c>
      <c r="L60" s="4">
        <f t="shared" si="17"/>
        <v>2</v>
      </c>
      <c r="M60" s="2"/>
      <c r="N60" s="3" t="s">
        <v>82</v>
      </c>
      <c r="O60" s="4" t="str">
        <f>IFERROR(__xludf.DUMMYFUNCTION("IF(OR(COUNTA(C56:L56) = 0, COUNTA(C59:L59) = 0), """", IFERROR(TEXTJOIN("", "", TRUE, FILTER(C53:L53, (C59:L59 = ""L"") * (C56:L56 = MIN(FILTER(C56:L56, C59:L59 = ""L""))))), """"))"),"Carson, Dan")</f>
        <v>Carson, Dan</v>
      </c>
      <c r="P60" s="12" t="str">
        <f>IFERROR(__xludf.DUMMYFUNCTION("IF(COUNTA(C64:L64) = 0, """", IFERROR(TEXTJOIN("", "", TRUE, FILTER(C53:L53, C64:L64 = MIN(C64:L64))), """"))"),"Clayton")</f>
        <v>Clayton</v>
      </c>
      <c r="Q60" s="4"/>
    </row>
    <row r="61">
      <c r="A61" s="1" t="s">
        <v>83</v>
      </c>
      <c r="B61" s="2"/>
      <c r="C61" s="27">
        <f t="shared" ref="C61:L61" si="18">IF(OR(C56="",C59=""),"",C48+COUNTIF(C59,"L"))</f>
        <v>1</v>
      </c>
      <c r="D61" s="27">
        <f t="shared" si="18"/>
        <v>1</v>
      </c>
      <c r="E61" s="27">
        <f t="shared" si="18"/>
        <v>4</v>
      </c>
      <c r="F61" s="27">
        <f t="shared" si="18"/>
        <v>4</v>
      </c>
      <c r="G61" s="27">
        <f t="shared" si="18"/>
        <v>2</v>
      </c>
      <c r="H61" s="27">
        <f t="shared" si="18"/>
        <v>3</v>
      </c>
      <c r="I61" s="27">
        <f t="shared" si="18"/>
        <v>3</v>
      </c>
      <c r="J61" s="27">
        <f t="shared" si="18"/>
        <v>3</v>
      </c>
      <c r="K61" s="27">
        <f t="shared" si="18"/>
        <v>1</v>
      </c>
      <c r="L61" s="27">
        <f t="shared" si="18"/>
        <v>3</v>
      </c>
      <c r="M61" s="2"/>
      <c r="N61" s="3" t="s">
        <v>84</v>
      </c>
      <c r="O61" s="12" t="str">
        <f>IFERROR(__xludf.DUMMYFUNCTION("IF(COUNTA(C56:L56) = 0, """", IFERROR(TEXTJOIN("", "", TRUE, FILTER(C53:L53, C56:L56 = MAX(C56:L56))), """"))"),"Jake")</f>
        <v>Jake</v>
      </c>
      <c r="P61" s="4" t="str">
        <f>IFERROR(__xludf.DUMMYFUNCTION("IF(COUNTA(C56:L56) = 0, """", IFERROR(TEXTJOIN("", "", TRUE, FILTER(C53:L53, C63:L63 = MAX(C63:L63))), """"))"),"Jake")</f>
        <v>Jake</v>
      </c>
      <c r="Q61" s="4"/>
    </row>
    <row r="62">
      <c r="A62" s="3" t="s">
        <v>85</v>
      </c>
      <c r="B62" s="2"/>
      <c r="C62" s="24">
        <f t="shared" ref="C62:L62" si="19">IF(OR(C56="",C59=""),"",(C60/(C60+C61)))</f>
        <v>0.8</v>
      </c>
      <c r="D62" s="24">
        <f t="shared" si="19"/>
        <v>0.8</v>
      </c>
      <c r="E62" s="24">
        <f t="shared" si="19"/>
        <v>0.2</v>
      </c>
      <c r="F62" s="24">
        <f t="shared" si="19"/>
        <v>0.2</v>
      </c>
      <c r="G62" s="24">
        <f t="shared" si="19"/>
        <v>0.6</v>
      </c>
      <c r="H62" s="24">
        <f t="shared" si="19"/>
        <v>0.4</v>
      </c>
      <c r="I62" s="24">
        <f t="shared" si="19"/>
        <v>0.4</v>
      </c>
      <c r="J62" s="24">
        <f t="shared" si="19"/>
        <v>0.4</v>
      </c>
      <c r="K62" s="24">
        <f t="shared" si="19"/>
        <v>0.8</v>
      </c>
      <c r="L62" s="24">
        <f t="shared" si="19"/>
        <v>0.4</v>
      </c>
      <c r="M62" s="14"/>
      <c r="N62" s="3" t="s">
        <v>86</v>
      </c>
      <c r="O62" s="4" t="str">
        <f>IFERROR(__xludf.DUMMYFUNCTION("IF(COUNTA(C56:L56) = 0, """", IFERROR(TEXTJOIN("", "", TRUE, FILTER(C53:L53, C56:L56 = MIN(C56:L56))), """"))"),"Nick")</f>
        <v>Nick</v>
      </c>
      <c r="P62" s="4" t="str">
        <f>IFERROR(__xludf.DUMMYFUNCTION("IF(COUNTA(C56:L56) = 0, """", IFERROR(TEXTJOIN("", "", TRUE, FILTER(C53:L53, C63:L63 = MIN(C63:L63))), """"))"),"Carson")</f>
        <v>Carson</v>
      </c>
      <c r="Q62" s="4"/>
    </row>
    <row r="63">
      <c r="A63" s="3" t="s">
        <v>87</v>
      </c>
      <c r="B63" s="2"/>
      <c r="C63" s="25">
        <f t="shared" ref="C63:L63" si="20">IF(C56="","",IF(((IF(C56 &lt;0,((-100/C56)+1),((C56/100)+1))+(IF(C50&lt;0,((-100/C50)+1),((C50/100)+1)))*(C47+C48))/(C47+C48+1))&lt;2,(-100/(((IF(C56 &lt;0,((-100/C56)+1),((C56/100)+1))+(IF(C50&lt;0,((-100/C50)+1),((C50/100)+1)))*(C47+C48))/(C47+C48+1))-1)),(((IF(C56 &lt;0,((-100/C56)+1),((C56/100)+1))+(IF(C50&lt;0,((-100/C50)+1),((C50/100)+1)))*(C47+C48))/(C47+C48+1))-1)*100))</f>
        <v>-132.0823477</v>
      </c>
      <c r="D63" s="25">
        <f t="shared" si="20"/>
        <v>-148.5885361</v>
      </c>
      <c r="E63" s="25">
        <f t="shared" si="20"/>
        <v>-127.3449827</v>
      </c>
      <c r="F63" s="25">
        <f t="shared" si="20"/>
        <v>-124.2332784</v>
      </c>
      <c r="G63" s="25">
        <f t="shared" si="20"/>
        <v>100.4247407</v>
      </c>
      <c r="H63" s="25">
        <f t="shared" si="20"/>
        <v>114.5714286</v>
      </c>
      <c r="I63" s="25">
        <f t="shared" si="20"/>
        <v>-135.4944752</v>
      </c>
      <c r="J63" s="25">
        <f t="shared" si="20"/>
        <v>-127.1980235</v>
      </c>
      <c r="K63" s="25">
        <f t="shared" si="20"/>
        <v>-122.5823107</v>
      </c>
      <c r="L63" s="25">
        <f t="shared" si="20"/>
        <v>-113.7205151</v>
      </c>
      <c r="M63" s="14"/>
      <c r="N63" s="4"/>
      <c r="O63" s="12"/>
      <c r="P63" s="12"/>
      <c r="Q63" s="4"/>
    </row>
    <row r="64">
      <c r="A64" s="16" t="s">
        <v>88</v>
      </c>
      <c r="B64" s="2"/>
      <c r="C64" s="26">
        <f>IFERROR(__xludf.DUMMYFUNCTION("IF(OR(C56="""",C59=""""),"""",IF(REGEXMATCH(C59,""W""),IF(C56&lt;0,((-100/C56))*10+C51,((C56/100)*10+C51)),-10+C51))"),20.958620345412797)</f>
        <v>20.95862035</v>
      </c>
      <c r="D64" s="26">
        <f>IFERROR(__xludf.DUMMYFUNCTION("IF(OR(D56="""",D59=""""),"""",IF(REGEXMATCH(D59,""W""),IF(D56&lt;0,((-100/D56))*10+D51,((D56/100)*10+D51)),-10+D51))"),17.360663288807)</f>
        <v>17.36066329</v>
      </c>
      <c r="E64" s="26">
        <f>IFERROR(__xludf.DUMMYFUNCTION("IF(OR(E56="""",E59=""""),"""",IF(REGEXMATCH(E59,""W""),IF(E56&lt;0,((-100/E56))*10+E51,((E56/100)*10+E51)),-10+E51))"),-32.592592592592595)</f>
        <v>-32.59259259</v>
      </c>
      <c r="F64" s="26">
        <f>IFERROR(__xludf.DUMMYFUNCTION("IF(OR(F56="""",F59=""""),"""",IF(REGEXMATCH(F59,""W""),IF(F56&lt;0,((-100/F56))*10+F51,((F56/100)*10+F51)),-10+F51))"),-31.304347826086957)</f>
        <v>-31.30434783</v>
      </c>
      <c r="G64" s="26">
        <f>IFERROR(__xludf.DUMMYFUNCTION("IF(OR(G56="""",G59=""""),"""",IF(REGEXMATCH(G59,""W""),IF(G56&lt;0,((-100/G56))*10+G51,((G56/100)*10+G51)),-10+G51))"),10.203361344537814)</f>
        <v>10.20336134</v>
      </c>
      <c r="H64" s="26">
        <f>IFERROR(__xludf.DUMMYFUNCTION("IF(OR(H56="""",H59=""""),"""",IF(REGEXMATCH(H59,""W""),IF(H56&lt;0,((-100/H56))*10+H51,((H56/100)*10+H51)),-10+H51))"),-2.0714285714285694)</f>
        <v>-2.071428571</v>
      </c>
      <c r="I64" s="26">
        <f>IFERROR(__xludf.DUMMYFUNCTION("IF(OR(I56="""",I59=""""),"""",IF(REGEXMATCH(I59,""W""),IF(I56&lt;0,((-100/I56))*10+I51,((I56/100)*10+I51)),-10+I51))"),-18.788819875776397)</f>
        <v>-18.78881988</v>
      </c>
      <c r="J64" s="26">
        <f>IFERROR(__xludf.DUMMYFUNCTION("IF(OR(J56="""",J59=""""),"""",IF(REGEXMATCH(J59,""W""),IF(J56&lt;0,((-100/J56))*10+J51,((J56/100)*10+J51)),-10+J51))"),-17.722667871803566)</f>
        <v>-17.72266787</v>
      </c>
      <c r="K64" s="26">
        <f>IFERROR(__xludf.DUMMYFUNCTION("IF(OR(K56="""",K59=""""),"""",IF(REGEXMATCH(K59,""W""),IF(K56&lt;0,((-100/K56))*10+K51,((K56/100)*10+K51)),-10+K51))"),23.892367757421077)</f>
        <v>23.89236776</v>
      </c>
      <c r="L64" s="26">
        <f>IFERROR(__xludf.DUMMYFUNCTION("IF(OR(L56="""",L59=""""),"""",IF(REGEXMATCH(L59,""W""),IF(L56&lt;0,((-100/L56))*10+L51,((L56/100)*10+L51)),-10+L51))"),-9.325688073394495)</f>
        <v>-9.325688073</v>
      </c>
      <c r="M64" s="14"/>
      <c r="N64" s="16" t="s">
        <v>89</v>
      </c>
      <c r="O64" s="10">
        <f>IFERROR(__xludf.DUMMYFUNCTION("IF(AND(C64="""",AND(D64="""",AND(E64="""",AND(F64="""",AND(G64="""",AND(H64="""",AND(I64="""",AND(J64="""",AND(K64="""",L64=""""))))))))),"""",(IF(C59="""",0,IF(REGEXMATCH(C59,""W""),IF(C56&lt;0,((-100/C56))*10,((C56/100)*10)),-10))+IF(D59="""",0,IF(REGEXMAT"&amp;"CH(D59,""W""),IF(D56&lt;0,((-100/D56))*10,((D56/100)*10)),-10))+IF(E59="""",0,IF(REGEXMATCH(E59,""W""),IF(E56&lt;0,((-100/E56))*10,((E56/100)*10)),-10))+IF(F59="""",0,IF(REGEXMATCH(F59,""W""),IF(F56&lt;0,((-100/F56))*10,((F56/100)*10)),-10))+IF(G59="""",0,IF(REGEX"&amp;"MATCH(G59,""W""),IF(G56&lt;0,((-100/G56))*10,((G56/100)*10)),-10))+IF(H59="""",0,IF(REGEXMATCH(H59,""W""),IF(H56&lt;0,((-100/H56))*10,((H56/100)*10)),-10))+IF(I59="""",0,IF(REGEXMATCH(I59,""W""),IF(I56&lt;0,((-100/I56))*10,((I56/100)*10)),-10))+IF(J59="""",0,IF(RE"&amp;"GEXMATCH(J59,""W""),IF(J56&lt;0,((-100/J56))*10,((J56/100)*10)),-10))+IF(K59="""",0,IF(REGEXMATCH(K59,""W""),IF(K56&lt;0,((-100/K56))*10,((K56/100)*10)),-10))+IF(L59="""",0,IF(REGEXMATCH(L59,""W""),IF(L56&lt;0,((-100/L56))*10,((L56/100)*10)),-10))))"),36.917698169991745)</f>
        <v>36.91769817</v>
      </c>
      <c r="P64" s="10">
        <f>IFERROR(__xludf.DUMMYFUNCTION("IF(AND(C64="""",AND(D64="""",AND(E64="""",AND(F64="""",AND(G64="""",AND(H64="""",AND(I64="""",AND(J64="""",AND(K64="""",L64=""""))))))))),"""",(P51+IF(C59="""",0,IF(REGEXMATCH(C59,""W""),IF(C56&lt;0,((-100/C56))*10,((C56/100)*10)),-10))+IF(D59="""",0,IF(REGE"&amp;"XMATCH(D59,""W""),IF(D56&lt;0,((-100/D56))*10,((D56/100)*10)),-10))+IF(E59="""",0,IF(REGEXMATCH(E59,""W""),IF(E56&lt;0,((-100/E56))*10,((E56/100)*10)),-10))+IF(F59="""",0,IF(REGEXMATCH(F59,""W""),IF(F56&lt;0,((-100/F56))*10,((F56/100)*10)),-10))+IF(G59="""",0,IF(R"&amp;"EGEXMATCH(G59,""W""),IF(G56&lt;0,((-100/G56))*10,((G56/100)*10)),-10))+IF(H59="""",0,IF(REGEXMATCH(H59,""W""),IF(H56&lt;0,((-100/H56))*10,((H56/100)*10)),-10))+IF(I59="""",0,IF(REGEXMATCH(I59,""W""),IF(I56&lt;0,((-100/I56))*10,((I56/100)*10)),-10))+IF(J59="""",0,I"&amp;"F(REGEXMATCH(J59,""W""),IF(J56&lt;0,((-100/J56))*10,((J56/100)*10)),-10))+IF(K59="""",0,IF(REGEXMATCH(K59,""W""),IF(K56&lt;0,((-100/K56))*10,((K56/100)*10)),-10))+IF(L59="""",0,IF(REGEXMATCH(L59,""W""),IF(L56&lt;0,((-100/L56))*10,((L56/100)*10)),-10))))"),-39.39053207490388)</f>
        <v>-39.39053207</v>
      </c>
      <c r="Q64" s="4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</row>
    <row r="66">
      <c r="A66" s="1" t="s">
        <v>14</v>
      </c>
      <c r="B66" s="2"/>
      <c r="C66" s="3" t="s">
        <v>1</v>
      </c>
      <c r="D66" s="3" t="s">
        <v>2</v>
      </c>
      <c r="E66" s="3" t="s">
        <v>3</v>
      </c>
      <c r="F66" s="3" t="s">
        <v>4</v>
      </c>
      <c r="G66" s="3" t="s">
        <v>5</v>
      </c>
      <c r="H66" s="3" t="s">
        <v>6</v>
      </c>
      <c r="I66" s="3" t="s">
        <v>7</v>
      </c>
      <c r="J66" s="3" t="s">
        <v>8</v>
      </c>
      <c r="K66" s="3" t="s">
        <v>9</v>
      </c>
      <c r="L66" s="3" t="s">
        <v>10</v>
      </c>
      <c r="M66" s="2"/>
      <c r="N66" s="4"/>
      <c r="O66" s="3" t="s">
        <v>11</v>
      </c>
      <c r="P66" s="4"/>
      <c r="Q66" s="4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</row>
    <row r="68">
      <c r="A68" s="3" t="s">
        <v>12</v>
      </c>
      <c r="B68" s="2"/>
      <c r="C68" s="5" t="s">
        <v>302</v>
      </c>
      <c r="D68" s="5" t="s">
        <v>303</v>
      </c>
      <c r="E68" s="19" t="s">
        <v>304</v>
      </c>
      <c r="F68" s="5" t="s">
        <v>305</v>
      </c>
      <c r="G68" s="5" t="s">
        <v>306</v>
      </c>
      <c r="H68" s="5" t="s">
        <v>307</v>
      </c>
      <c r="I68" s="5" t="s">
        <v>22</v>
      </c>
      <c r="J68" s="5" t="s">
        <v>308</v>
      </c>
      <c r="K68" s="5" t="s">
        <v>309</v>
      </c>
      <c r="L68" s="5" t="s">
        <v>310</v>
      </c>
      <c r="M68" s="2"/>
      <c r="N68" s="3" t="s">
        <v>13</v>
      </c>
      <c r="O68" s="7">
        <f>IF(AND(C69="",AND(D69="",AND(E69="",AND(F69="",AND(G69="",AND(H69="",AND(I69="",AND(J69="",AND(K69="",L69=""))))))))),"",IF(((IF(C69="",1,IF(C69&gt;0,(C69/100)+1,(100/((-1)*C69))+1)))*(IF(D69="",1,IF(D69&gt;0,(D69/100)+1,(100/((-1)*D69))+1)))*(IF(E69="",1,IF(E69&gt;0,(E69/100)+1,(100/((-1)*E69))+1)))*(IF(F69="",1,IF(F69&gt;0,(F69/100)+1,(100/((-1)*F69))+1)))*(IF(G69="",1,IF(G69&gt;0,(G69/100)+1,(100/((-1)*G69))+1)))*(IF(H69="",1,IF(H69&gt;0,(H69/100)+1,(100/((-1)*H69))+1)))*(IF(I69="",1,IF(I69&gt;0,(I69/100)+1,(100/((-1)*I69))+1)))*(IF(J69="",1,IF(J69&gt;0,(J69/100)+1,(100/((-1)*J69))+1)))*(IF(K69="",1,IF(K69&gt;0,(K69/100)+1,(100/((-1)*K69))+1)))*(IF(L69="",1,IF(L69&gt;0,(L69/100)+1,(100/((-1)*L69))+1))))&lt;2,((-100)/(((IF(C69="",1,IF(C69&gt;0,(C69/100)+1,(100/((-1)*C69))+1)))*(IF(D69="",1,IF(D69&gt;0,(D69/100)+1,(100/((-1)*D69))+1)))*(IF(E69="",1,IF(E69&gt;0,(E69/100)+1,(100/((-1)*E69))+1)))*(IF(F69="",1,IF(F69&gt;0,(F69/100)+1,(100/((-1)*F69))+1)))*(IF(G69="",1,IF(G69&gt;0,(G69/100)+1,(100/((-1)*G69))+1)))*(IF(H69="",1,IF(H69&gt;0,(H69/100)+1,(100/((-1)*H69))+1)))*(IF(I69="",1,IF(I69&gt;0,(I69/100)+1,(100/((-1)*I69))+1)))*(IF(J69="",1,IF(J69&gt;0,(J69/100)+1,(100/((-1)*J69))+1)))*(IF(K69="",1,IF(K69&gt;0,(K69/100)+1,(100/((-1)*K69))+1)))*(IF(L69="",1,IF(L69&gt;0,(L69/100)+1,(100/((-1)*L69))+1))))-1)),((((IF(C69="",1,IF(C69&gt;0,(C69/100)+1,(100/((-1)*C69))+1)))*(IF(D69="",1,IF(D69&gt;0,(D69/100)+1,(100/((-1)*D69))+1)))*(IF(E69="",1,IF(E69&gt;0,(E69/100)+1,(100/((-1)*E69))+1)))*(IF(F69="",1,IF(F69&gt;0,(F69/100)+1,(100/((-1)*F69))+1)))*(IF(G69="",1,IF(G69&gt;0,(G69/100)+1,(100/((-1)*G69))+1)))*(IF(H69="",1,IF(H69&gt;0,(H69/100)+1,(100/((-1)*H69))+1)))*(IF(I69="",1,IF(I69&gt;0,(I69/100)+1,(100/((-1)*I69))+1)))*(IF(J69="",1,IF(J69&gt;0,(J69/100)+1,(100/((-1)*J69))+1)))*(IF(K69="",1,IF(K69&gt;0,(K69/100)+1,(100/((-1)*K69))+1)))*(IF(L69="",1,IF(L69&gt;0,(L69/100)+1,(100/((-1)*L69))+1))))-1)*(100))))</f>
        <v>31073.82775</v>
      </c>
      <c r="P68" s="4"/>
      <c r="Q68" s="8" t="s">
        <v>35</v>
      </c>
    </row>
    <row r="69">
      <c r="A69" s="3" t="s">
        <v>13</v>
      </c>
      <c r="B69" s="2"/>
      <c r="C69" s="5">
        <v>-152.0</v>
      </c>
      <c r="D69" s="5">
        <v>105.0</v>
      </c>
      <c r="E69" s="5">
        <v>-133.0</v>
      </c>
      <c r="F69" s="5">
        <v>-130.0</v>
      </c>
      <c r="G69" s="5">
        <v>-200.0</v>
      </c>
      <c r="H69" s="5">
        <v>-120.0</v>
      </c>
      <c r="I69" s="5">
        <v>-135.0</v>
      </c>
      <c r="J69" s="5">
        <v>-145.0</v>
      </c>
      <c r="K69" s="5">
        <v>-118.0</v>
      </c>
      <c r="L69" s="5">
        <v>-102.0</v>
      </c>
      <c r="M69" s="2">
        <v>5.0</v>
      </c>
      <c r="N69" s="3" t="s">
        <v>36</v>
      </c>
      <c r="O69" s="10">
        <f>IF(AND(C69="",AND(D69="",AND(E69="",AND(F69="",AND(G69="",AND(H69="",AND(I69="",AND(J69="",AND(K69="",L69=""))))))))),"",10+IF((IF(((IF(C69="",1,IF(C69&gt;0,(C69/100)+1,(100/((-1)*C69))+1)))*(IF(D69="",1,IF(D69&gt;0,(D69/100)+1,(100/((-1)*D69))+1)))*(IF(E69="",1,IF(E69&gt;0,(E69/100)+1,(100/((-1)*E69))+1)))*(IF(F69="",1,IF(F69&gt;0,(F69/100)+1,(100/((-1)*F69))+1)))*(IF(G69="",1,IF(G69&gt;0,(G69/100)+1,(100/((-1)*G69))+1)))*(IF(H69="",1,IF(H69&gt;0,(H69/100)+1,(100/((-1)*H69))+1)))*(IF(I69="",1,IF(I69&gt;0,(I69/100)+1,(100/((-1)*I69))+1)))*(IF(J69="",1,IF(J69&gt;0,(J69/100)+1,(100/((-1)*J69))+1)))*(IF(K69="",1,IF(K69&gt;0,(K69/100)+1,(100/((-1)*K69))+1)))*(IF(L69="",1,IF(L69&gt;0,(L69/100)+1,(100/((-1)*L69))+1))))&lt;2,((-100)/(((IF(C69="",1,IF(C69&gt;0,(C69/100)+1,(100/((-1)*C69))+1)))*(IF(D69="",1,IF(D69&gt;0,(D69/100)+1,(100/((-1)*D69))+1)))*(IF(E69="",1,IF(E69&gt;0,(E69/100)+1,(100/((-1)*E69))+1)))*(IF(F69="",1,IF(F69&gt;0,(F69/100)+1,(100/((-1)*F69))+1)))*(IF(G69="",1,IF(G69&gt;0,(G69/100)+1,(100/((-1)*G69))+1)))*(IF(H69="",1,IF(H69&gt;0,(H69/100)+1,(100/((-1)*H69))+1)))*(IF(I69="",1,IF(I69&gt;0,(I69/100)+1,(100/((-1)*I69))+1)))*(IF(J69="",1,IF(J69&gt;0,(J69/100)+1,(100/((-1)*J69))+1)))*(IF(K69="",1,IF(K69&gt;0,(K69/100)+1,(100/((-1)*K69))+1)))*(IF(L69="",1,IF(L69&gt;0,(L69/100)+1,(100/((-1)*L69))+1))))-1)),((((IF(C69="",1,IF(C69&gt;0,(C69/100)+1,(100/((-1)*C69))+1)))*(IF(D69="",1,IF(D69&gt;0,(D69/100)+1,(100/((-1)*D69))+1)))*(IF(E69="",1,IF(E69&gt;0,(E69/100)+1,(100/((-1)*E69))+1)))*(IF(F69="",1,IF(F69&gt;0,(F69/100)+1,(100/((-1)*F69))+1)))*(IF(G69="",1,IF(G69&gt;0,(G69/100)+1,(100/((-1)*G69))+1)))*(IF(H69="",1,IF(H69&gt;0,(H69/100)+1,(100/((-1)*H69))+1)))*(IF(I69="",1,IF(I69&gt;0,(I69/100)+1,(100/((-1)*I69))+1)))*(IF(J69="",1,IF(J69&gt;0,(J69/100)+1,(100/((-1)*J69))+1)))*(IF(K69="",1,IF(K69&gt;0,(K69/100)+1,(100/((-1)*K69))+1)))*(IF(L69="",1,IF(L69&gt;0,(L69/100)+1,(100/((-1)*L69))+1))))-1)*(100))))&lt;0,(((-100)/((IF(((IF(C69="",1,IF(C69&gt;0,(C69/100)+1,(100/((-1)*C69))+1)))*(IF(D69="",1,IF(D69&gt;0,(D69/100)+1,(100/((-1)*D69))+1)))*(IF(E69="",1,IF(E69&gt;0,(E69/100)+1,(100/((-1)*E69))+1)))*(IF(F69="",1,IF(F69&gt;0,(F69/100)+1,(100/((-1)*F69))+1)))*(IF(G69="",1,IF(G69&gt;0,(G69/100)+1,(100/((-1)*G69))+1)))*(IF(H69="",1,IF(H69&gt;0,(H69/100)+1,(100/((-1)*H69))+1)))*(IF(I69="",1,IF(I69&gt;0,(I69/100)+1,(100/((-1)*I69))+1)))*(IF(J69="",1,IF(J69&gt;0,(J69/100)+1,(100/((-1)*J69))+1)))*(IF(K69="",1,IF(K69&gt;0,(K69/100)+1,(100/((-1)*K69))+1)))*(IF(L69="",1,IF(L69&gt;0,(L69/100)+1,(100/((-1)*L69))+1))))&lt;2,((-100)/(((IF(C69="",1,IF(C69&gt;0,(C69/100)+1,(100/((-1)*C69))+1)))*(IF(D69="",1,IF(D69&gt;0,(D69/100)+1,(100/((-1)*D69))+1)))*(IF(E69="",1,IF(E69&gt;0,(E69/100)+1,(100/((-1)*E69))+1)))*(IF(F69="",1,IF(F69&gt;0,(F69/100)+1,(100/((-1)*F69))+1)))*(IF(G69="",1,IF(G69&gt;0,(G69/100)+1,(100/((-1)*G69))+1)))*(IF(H69="",1,IF(H69&gt;0,(H69/100)+1,(100/((-1)*H69))+1)))*(IF(I69="",1,IF(I69&gt;0,(I69/100)+1,(100/((-1)*I69))+1)))*(IF(J69="",1,IF(J69&gt;0,(J69/100)+1,(100/((-1)*J69))+1)))*(IF(K69="",1,IF(K69&gt;0,(K69/100)+1,(100/((-1)*K69))+1)))*(IF(L69="",1,IF(L69&gt;0,(L69/100)+1,(100/((-1)*L69))+1))))-1)),((((IF(C69="",1,IF(C69&gt;0,(C69/100)+1,(100/((-1)*C69))+1)))*(IF(D69="",1,IF(D69&gt;0,(D69/100)+1,(100/((-1)*D69))+1)))*(IF(E69="",1,IF(E69&gt;0,(E69/100)+1,(100/((-1)*E69))+1)))*(IF(F69="",1,IF(F69&gt;0,(F69/100)+1,(100/((-1)*F69))+1)))*(IF(G69="",1,IF(G69&gt;0,(G69/100)+1,(100/((-1)*G69))+1)))*(IF(H69="",1,IF(H69&gt;0,(H69/100)+1,(100/((-1)*H69))+1)))*(IF(I69="",1,IF(I69&gt;0,(I69/100)+1,(100/((-1)*I69))+1)))*(IF(J69="",1,IF(J69&gt;0,(J69/100)+1,(100/((-1)*J69))+1)))*(IF(K69="",1,IF(K69&gt;0,(K69/100)+1,(100/((-1)*K69))+1)))*(IF(L69="",1,IF(L69&gt;0,(L69/100)+1,(100/((-1)*L69))+1))))-1)*(100))))))*10),(((IF(((IF(C69="",1,IF(C69&gt;0,(C69/100)+1,(100/((-1)*C69))+1)))*(IF(D69="",1,IF(D69&gt;0,(D69/100)+1,(100/((-1)*D69))+1)))*(IF(E69="",1,IF(E69&gt;0,(E69/100)+1,(100/((-1)*E69))+1)))*(IF(F69="",1,IF(F69&gt;0,(F69/100)+1,(100/((-1)*F69))+1)))*(IF(G69="",1,IF(G69&gt;0,(G69/100)+1,(100/((-1)*G69))+1)))*(IF(H69="",1,IF(H69&gt;0,(H69/100)+1,(100/((-1)*H69))+1)))*(IF(I69="",1,IF(I69&gt;0,(I69/100)+1,(100/((-1)*I69))+1)))*(IF(J69="",1,IF(J69&gt;0,(J69/100)+1,(100/((-1)*J69))+1)))*(IF(K69="",1,IF(K69&gt;0,(K69/100)+1,(100/((-1)*K69))+1)))*(IF(L69="",1,IF(L69&gt;0,(L69/100)+1,(100/((-1)*L69))+1))))&lt;2,((-100)/(((IF(C69="",1,IF(C69&gt;0,(C69/100)+1,(100/((-1)*C69))+1)))*(IF(D69="",1,IF(D69&gt;0,(D69/100)+1,(100/((-1)*D69))+1)))*(IF(E69="",1,IF(E69&gt;0,(E69/100)+1,(100/((-1)*E69))+1)))*(IF(F69="",1,IF(F69&gt;0,(F69/100)+1,(100/((-1)*F69))+1)))*(IF(G69="",1,IF(G69&gt;0,(G69/100)+1,(100/((-1)*G69))+1)))*(IF(H69="",1,IF(H69&gt;0,(H69/100)+1,(100/((-1)*H69))+1)))*(IF(I69="",1,IF(I69&gt;0,(I69/100)+1,(100/((-1)*I69))+1)))*(IF(J69="",1,IF(J69&gt;0,(J69/100)+1,(100/((-1)*J69))+1)))*(IF(K69="",1,IF(K69&gt;0,(K69/100)+1,(100/((-1)*K69))+1)))*(IF(L69="",1,IF(L69&gt;0,(L69/100)+1,(100/((-1)*L69))+1))))-1)),((((IF(C69="",1,IF(C69&gt;0,(C69/100)+1,(100/((-1)*C69))+1)))*(IF(D69="",1,IF(D69&gt;0,(D69/100)+1,(100/((-1)*D69))+1)))*(IF(E69="",1,IF(E69&gt;0,(E69/100)+1,(100/((-1)*E69))+1)))*(IF(F69="",1,IF(F69&gt;0,(F69/100)+1,(100/((-1)*F69))+1)))*(IF(G69="",1,IF(G69&gt;0,(G69/100)+1,(100/((-1)*G69))+1)))*(IF(H69="",1,IF(H69&gt;0,(H69/100)+1,(100/((-1)*H69))+1)))*(IF(I69="",1,IF(I69&gt;0,(I69/100)+1,(100/((-1)*I69))+1)))*(IF(J69="",1,IF(J69&gt;0,(J69/100)+1,(100/((-1)*J69))+1)))*(IF(K69="",1,IF(K69&gt;0,(K69/100)+1,(100/((-1)*K69))+1)))*(IF(L69="",1,IF(L69&gt;0,(L69/100)+1,(100/((-1)*L69))+1))))-1)*(100))))/100)*10)))</f>
        <v>3117.382775</v>
      </c>
      <c r="P69" s="4"/>
      <c r="Q69" s="4"/>
    </row>
    <row r="70">
      <c r="A70" s="3" t="s">
        <v>37</v>
      </c>
      <c r="B70" s="2"/>
      <c r="C70" s="5" t="s">
        <v>339</v>
      </c>
      <c r="D70" s="5" t="s">
        <v>340</v>
      </c>
      <c r="E70" s="5" t="s">
        <v>315</v>
      </c>
      <c r="F70" s="5" t="s">
        <v>341</v>
      </c>
      <c r="G70" s="5" t="s">
        <v>342</v>
      </c>
      <c r="H70" s="5" t="s">
        <v>343</v>
      </c>
      <c r="I70" s="5" t="s">
        <v>344</v>
      </c>
      <c r="J70" s="5" t="s">
        <v>345</v>
      </c>
      <c r="K70" s="5" t="s">
        <v>346</v>
      </c>
      <c r="L70" s="5" t="s">
        <v>347</v>
      </c>
      <c r="M70" s="2"/>
      <c r="N70" s="4"/>
      <c r="O70" s="4"/>
      <c r="P70" s="4"/>
      <c r="Q70" s="4"/>
    </row>
    <row r="71">
      <c r="A71" s="3" t="s">
        <v>48</v>
      </c>
      <c r="B71" s="2"/>
      <c r="C71" s="5" t="s">
        <v>348</v>
      </c>
      <c r="D71" s="5" t="s">
        <v>349</v>
      </c>
      <c r="E71" s="5" t="s">
        <v>73</v>
      </c>
      <c r="F71" s="5" t="s">
        <v>350</v>
      </c>
      <c r="G71" s="5" t="s">
        <v>351</v>
      </c>
      <c r="H71" s="11">
        <v>45923.0</v>
      </c>
      <c r="I71" s="5" t="s">
        <v>352</v>
      </c>
      <c r="J71" s="5" t="s">
        <v>353</v>
      </c>
      <c r="K71" s="5" t="s">
        <v>354</v>
      </c>
      <c r="L71" s="5" t="s">
        <v>355</v>
      </c>
      <c r="M71" s="2"/>
      <c r="N71" s="4"/>
      <c r="O71" s="3" t="s">
        <v>56</v>
      </c>
      <c r="P71" s="3" t="s">
        <v>57</v>
      </c>
      <c r="Q71" s="4"/>
    </row>
    <row r="72">
      <c r="A72" s="3" t="s">
        <v>59</v>
      </c>
      <c r="B72" s="2"/>
      <c r="C72" s="5" t="s">
        <v>60</v>
      </c>
      <c r="D72" s="5" t="s">
        <v>62</v>
      </c>
      <c r="E72" s="5" t="s">
        <v>60</v>
      </c>
      <c r="F72" s="5" t="s">
        <v>62</v>
      </c>
      <c r="G72" s="5" t="s">
        <v>60</v>
      </c>
      <c r="H72" s="5" t="s">
        <v>60</v>
      </c>
      <c r="I72" s="5" t="s">
        <v>62</v>
      </c>
      <c r="J72" s="5" t="s">
        <v>60</v>
      </c>
      <c r="K72" s="5" t="s">
        <v>60</v>
      </c>
      <c r="L72" s="5" t="s">
        <v>60</v>
      </c>
      <c r="M72" s="2"/>
      <c r="N72" s="3" t="s">
        <v>65</v>
      </c>
      <c r="O72" s="12" t="str">
        <f>IFERROR(__xludf.DUMMYFUNCTION("IF(OR(COUNTA(C69:L69) = 0, COUNTA(C72:L72) = 0), """", IFERROR(TEXTJOIN("", "", TRUE, FILTER(C66:L66, (C72:L72 = ""W"") * (C69:L69 = MAX(FILTER(C69:L69, C72:L72 = ""W""))))), """"))"),"Trey")</f>
        <v>Trey</v>
      </c>
      <c r="P72" s="12" t="str">
        <f>IFERROR(__xludf.DUMMYFUNCTION("IF(COUNTA(C77:L77) = 0, """", IFERROR(TEXTJOIN("", "", TRUE, FILTER(C66:L66, C77:L77 = MAX(C77:L77))), """"))"),"Taylon")</f>
        <v>Taylon</v>
      </c>
      <c r="Q72" s="4"/>
    </row>
    <row r="73">
      <c r="A73" s="1" t="s">
        <v>81</v>
      </c>
      <c r="B73" s="2"/>
      <c r="C73" s="4">
        <f t="shared" ref="C73:L73" si="21">IF(OR(C69="",C72=""),"",C60+COUNTIF(C72,"W"))</f>
        <v>5</v>
      </c>
      <c r="D73" s="4">
        <f t="shared" si="21"/>
        <v>4</v>
      </c>
      <c r="E73" s="4">
        <f t="shared" si="21"/>
        <v>2</v>
      </c>
      <c r="F73" s="4">
        <f t="shared" si="21"/>
        <v>1</v>
      </c>
      <c r="G73" s="4">
        <f t="shared" si="21"/>
        <v>4</v>
      </c>
      <c r="H73" s="4">
        <f t="shared" si="21"/>
        <v>3</v>
      </c>
      <c r="I73" s="4">
        <f t="shared" si="21"/>
        <v>2</v>
      </c>
      <c r="J73" s="4">
        <f t="shared" si="21"/>
        <v>3</v>
      </c>
      <c r="K73" s="4">
        <f t="shared" si="21"/>
        <v>5</v>
      </c>
      <c r="L73" s="4">
        <f t="shared" si="21"/>
        <v>3</v>
      </c>
      <c r="M73" s="2"/>
      <c r="N73" s="3" t="s">
        <v>82</v>
      </c>
      <c r="O73" s="4" t="str">
        <f>IFERROR(__xludf.DUMMYFUNCTION("IF(OR(COUNTA(C69:L69) = 0, COUNTA(C72:L72) = 0), """", IFERROR(TEXTJOIN("", "", TRUE, FILTER(C66:L66, (C72:L72 = ""L"") * (C69:L69 = MIN(FILTER(C69:L69, C72:L72 = ""L""))))), """"))"),"Nick")</f>
        <v>Nick</v>
      </c>
      <c r="P73" s="12" t="str">
        <f>IFERROR(__xludf.DUMMYFUNCTION("IF(COUNTA(C77:L77) = 0, """", IFERROR(TEXTJOIN("", "", TRUE, FILTER(C66:L66, C77:L77 = MIN(C77:L77))), """"))"),"Dan")</f>
        <v>Dan</v>
      </c>
      <c r="Q73" s="4"/>
    </row>
    <row r="74">
      <c r="A74" s="1" t="s">
        <v>83</v>
      </c>
      <c r="B74" s="2"/>
      <c r="C74" s="27">
        <f t="shared" ref="C74:L74" si="22">IF(OR(C69="",C72=""),"",C61+COUNTIF(C72,"L"))</f>
        <v>1</v>
      </c>
      <c r="D74" s="27">
        <f t="shared" si="22"/>
        <v>2</v>
      </c>
      <c r="E74" s="27">
        <f t="shared" si="22"/>
        <v>4</v>
      </c>
      <c r="F74" s="27">
        <f t="shared" si="22"/>
        <v>5</v>
      </c>
      <c r="G74" s="27">
        <f t="shared" si="22"/>
        <v>2</v>
      </c>
      <c r="H74" s="27">
        <f t="shared" si="22"/>
        <v>3</v>
      </c>
      <c r="I74" s="27">
        <f t="shared" si="22"/>
        <v>4</v>
      </c>
      <c r="J74" s="27">
        <f t="shared" si="22"/>
        <v>3</v>
      </c>
      <c r="K74" s="27">
        <f t="shared" si="22"/>
        <v>1</v>
      </c>
      <c r="L74" s="27">
        <f t="shared" si="22"/>
        <v>3</v>
      </c>
      <c r="M74" s="2"/>
      <c r="N74" s="3" t="s">
        <v>84</v>
      </c>
      <c r="O74" s="12" t="str">
        <f>IFERROR(__xludf.DUMMYFUNCTION("IF(COUNTA(C69:L69) = 0, """", IFERROR(TEXTJOIN("", "", TRUE, FILTER(C66:L66, C69:L69 = MAX(C69:L69))), """"))"),"Carson")</f>
        <v>Carson</v>
      </c>
      <c r="P74" s="4" t="str">
        <f>IFERROR(__xludf.DUMMYFUNCTION("IF(COUNTA(C69:L69) = 0, """", IFERROR(TEXTJOIN("", "", TRUE, FILTER(C66:L66, C76:L76 = MAX(C76:L76))), """"))"),"Jake")</f>
        <v>Jake</v>
      </c>
      <c r="Q74" s="4"/>
    </row>
    <row r="75">
      <c r="A75" s="3" t="s">
        <v>85</v>
      </c>
      <c r="B75" s="2"/>
      <c r="C75" s="24">
        <f t="shared" ref="C75:L75" si="23">IF(OR(C69="",C72=""),"",(C73/(C73+C74)))</f>
        <v>0.8333333333</v>
      </c>
      <c r="D75" s="24">
        <f t="shared" si="23"/>
        <v>0.6666666667</v>
      </c>
      <c r="E75" s="24">
        <f t="shared" si="23"/>
        <v>0.3333333333</v>
      </c>
      <c r="F75" s="24">
        <f t="shared" si="23"/>
        <v>0.1666666667</v>
      </c>
      <c r="G75" s="24">
        <f t="shared" si="23"/>
        <v>0.6666666667</v>
      </c>
      <c r="H75" s="24">
        <f t="shared" si="23"/>
        <v>0.5</v>
      </c>
      <c r="I75" s="24">
        <f t="shared" si="23"/>
        <v>0.3333333333</v>
      </c>
      <c r="J75" s="24">
        <f t="shared" si="23"/>
        <v>0.5</v>
      </c>
      <c r="K75" s="24">
        <f t="shared" si="23"/>
        <v>0.8333333333</v>
      </c>
      <c r="L75" s="24">
        <f t="shared" si="23"/>
        <v>0.5</v>
      </c>
      <c r="M75" s="14"/>
      <c r="N75" s="3" t="s">
        <v>86</v>
      </c>
      <c r="O75" s="4" t="str">
        <f>IFERROR(__xludf.DUMMYFUNCTION("IF(COUNTA(C69:L69) = 0, """", IFERROR(TEXTJOIN("", "", TRUE, FILTER(C66:L66, C69:L69 = MIN(C69:L69))), """"))"),"Hunter")</f>
        <v>Hunter</v>
      </c>
      <c r="P75" s="4" t="str">
        <f>IFERROR(__xludf.DUMMYFUNCTION("IF(COUNTA(C69:L69) = 0, """", IFERROR(TEXTJOIN("", "", TRUE, FILTER(C66:L66, C76:L76 = MIN(C76:L76))), """"))"),"Carson")</f>
        <v>Carson</v>
      </c>
      <c r="Q75" s="4"/>
    </row>
    <row r="76">
      <c r="A76" s="3" t="s">
        <v>87</v>
      </c>
      <c r="B76" s="2"/>
      <c r="C76" s="25">
        <f t="shared" ref="C76:L76" si="24">IF(C69="","",IF(((IF(C69 &lt;0,((-100/C69)+1),((C69/100)+1))+(IF(C63&lt;0,((-100/C63)+1),((C63/100)+1)))*(C60+C61))/(C60+C61+1))&lt;2,(-100/(((IF(C69 &lt;0,((-100/C69)+1),((C69/100)+1))+(IF(C63&lt;0,((-100/C63)+1),((C63/100)+1)))*(C60+C61))/(C60+C61+1))-1)),(((IF(C69 &lt;0,((-100/C69)+1),((C69/100)+1))+(IF(C63&lt;0,((-100/C63)+1),((C63/100)+1)))*(C60+C61))/(C60+C61+1))-1)*100))</f>
        <v>-135.0313695</v>
      </c>
      <c r="D76" s="25">
        <f t="shared" si="24"/>
        <v>-135.9004276</v>
      </c>
      <c r="E76" s="25">
        <f t="shared" si="24"/>
        <v>-128.2538521</v>
      </c>
      <c r="F76" s="25">
        <f t="shared" si="24"/>
        <v>-125.1586051</v>
      </c>
      <c r="G76" s="25">
        <f t="shared" si="24"/>
        <v>-108.6712989</v>
      </c>
      <c r="H76" s="25">
        <f t="shared" si="24"/>
        <v>109.3650794</v>
      </c>
      <c r="I76" s="25">
        <f t="shared" si="24"/>
        <v>-135.4118113</v>
      </c>
      <c r="J76" s="25">
        <f t="shared" si="24"/>
        <v>-129.8551245</v>
      </c>
      <c r="K76" s="25">
        <f t="shared" si="24"/>
        <v>-121.7940365</v>
      </c>
      <c r="L76" s="25">
        <f t="shared" si="24"/>
        <v>-111.5835596</v>
      </c>
      <c r="M76" s="14"/>
      <c r="N76" s="4"/>
      <c r="O76" s="12"/>
      <c r="P76" s="12"/>
      <c r="Q76" s="4"/>
    </row>
    <row r="77">
      <c r="A77" s="16" t="s">
        <v>88</v>
      </c>
      <c r="B77" s="2"/>
      <c r="C77" s="26">
        <f>IFERROR(__xludf.DUMMYFUNCTION("IF(OR(C69="""",C72=""""),"""",IF(REGEXMATCH(C72,""W""),IF(C69&lt;0,((-100/C69))*10+C64,((C69/100)*10+C64)),-10+C64))"),27.53756771383385)</f>
        <v>27.53756771</v>
      </c>
      <c r="D77" s="26">
        <f>IFERROR(__xludf.DUMMYFUNCTION("IF(OR(D69="""",D72=""""),"""",IF(REGEXMATCH(D72,""W""),IF(D69&lt;0,((-100/D69))*10+D64,((D69/100)*10+D64)),-10+D64))"),7.360663288807)</f>
        <v>7.360663289</v>
      </c>
      <c r="E77" s="26">
        <f>IFERROR(__xludf.DUMMYFUNCTION("IF(OR(E69="""",E72=""""),"""",IF(REGEXMATCH(E72,""W""),IF(E69&lt;0,((-100/E69))*10+E64,((E69/100)*10+E64)),-10+E64))"),-25.073795600111392)</f>
        <v>-25.0737956</v>
      </c>
      <c r="F77" s="26">
        <f>IFERROR(__xludf.DUMMYFUNCTION("IF(OR(F69="""",F72=""""),"""",IF(REGEXMATCH(F72,""W""),IF(F69&lt;0,((-100/F69))*10+F64,((F69/100)*10+F64)),-10+F64))"),-41.30434782608695)</f>
        <v>-41.30434783</v>
      </c>
      <c r="G77" s="26">
        <f>IFERROR(__xludf.DUMMYFUNCTION("IF(OR(G69="""",G72=""""),"""",IF(REGEXMATCH(G72,""W""),IF(G69&lt;0,((-100/G69))*10+G64,((G69/100)*10+G64)),-10+G64))"),15.203361344537814)</f>
        <v>15.20336134</v>
      </c>
      <c r="H77" s="26">
        <f>IFERROR(__xludf.DUMMYFUNCTION("IF(OR(H69="""",H72=""""),"""",IF(REGEXMATCH(H72,""W""),IF(H69&lt;0,((-100/H69))*10+H64,((H69/100)*10+H64)),-10+H64))"),6.2619047619047645)</f>
        <v>6.261904762</v>
      </c>
      <c r="I77" s="26">
        <f>IFERROR(__xludf.DUMMYFUNCTION("IF(OR(I69="""",I72=""""),"""",IF(REGEXMATCH(I72,""W""),IF(I69&lt;0,((-100/I69))*10+I64,((I69/100)*10+I64)),-10+I64))"),-28.788819875776397)</f>
        <v>-28.78881988</v>
      </c>
      <c r="J77" s="26">
        <f>IFERROR(__xludf.DUMMYFUNCTION("IF(OR(J69="""",J72=""""),"""",IF(REGEXMATCH(J72,""W""),IF(J69&lt;0,((-100/J69))*10+J64,((J69/100)*10+J64)),-10+J64))"),-10.826116147665633)</f>
        <v>-10.82611615</v>
      </c>
      <c r="K77" s="26">
        <f>IFERROR(__xludf.DUMMYFUNCTION("IF(OR(K69="""",K72=""""),"""",IF(REGEXMATCH(K72,""W""),IF(K69&lt;0,((-100/K69))*10+K64,((K69/100)*10+K64)),-10+K64))"),32.36694402860752)</f>
        <v>32.36694403</v>
      </c>
      <c r="L77" s="26">
        <f>IFERROR(__xludf.DUMMYFUNCTION("IF(OR(L69="""",L72=""""),"""",IF(REGEXMATCH(L72,""W""),IF(L69&lt;0,((-100/L69))*10+L64,((L69/100)*10+L64)),-10+L64))"),0.47823349523295455)</f>
        <v>0.4782334952</v>
      </c>
      <c r="M77" s="14"/>
      <c r="N77" s="16" t="s">
        <v>89</v>
      </c>
      <c r="O77" s="10">
        <f>IFERROR(__xludf.DUMMYFUNCTION("IF(AND(C77="""",AND(D77="""",AND(E77="""",AND(F77="""",AND(G77="""",AND(H77="""",AND(I77="""",AND(J77="""",AND(K77="""",L77=""""))))))))),"""",(IF(C72="""",0,IF(REGEXMATCH(C72,""W""),IF(C69&lt;0,((-100/C69))*10,((C69/100)*10)),-10))+IF(D72="""",0,IF(REGEXMAT"&amp;"CH(D72,""W""),IF(D69&lt;0,((-100/D69))*10,((D69/100)*10)),-10))+IF(E72="""",0,IF(REGEXMATCH(E72,""W""),IF(E69&lt;0,((-100/E69))*10,((E69/100)*10)),-10))+IF(F72="""",0,IF(REGEXMATCH(F72,""W""),IF(F69&lt;0,((-100/F69))*10,((F69/100)*10)),-10))+IF(G72="""",0,IF(REGEX"&amp;"MATCH(G72,""W""),IF(G69&lt;0,((-100/G69))*10,((G69/100)*10)),-10))+IF(H72="""",0,IF(REGEXMATCH(H72,""W""),IF(H69&lt;0,((-100/H69))*10,((H69/100)*10)),-10))+IF(I72="""",0,IF(REGEXMATCH(I72,""W""),IF(I69&lt;0,((-100/I69))*10,((I69/100)*10)),-10))+IF(J72="""",0,IF(RE"&amp;"GEXMATCH(J72,""W""),IF(J69&lt;0,((-100/J69))*10,((J69/100)*10)),-10))+IF(K72="""",0,IF(REGEXMATCH(K72,""W""),IF(K69&lt;0,((-100/K69))*10,((K69/100)*10)),-10))+IF(L72="""",0,IF(REGEXMATCH(L72,""W""),IF(L69&lt;0,((-100/L69))*10,((L69/100)*10)),-10))))"),22.606127258187414)</f>
        <v>22.60612726</v>
      </c>
      <c r="P77" s="10">
        <f>IFERROR(__xludf.DUMMYFUNCTION("IF(AND(C77="""",AND(D77="""",AND(E77="""",AND(F77="""",AND(G77="""",AND(H77="""",AND(I77="""",AND(J77="""",AND(K77="""",L77=""""))))))))),"""",(P64+IF(C72="""",0,IF(REGEXMATCH(C72,""W""),IF(C69&lt;0,((-100/C69))*10,((C69/100)*10)),-10))+IF(D72="""",0,IF(REGE"&amp;"XMATCH(D72,""W""),IF(D69&lt;0,((-100/D69))*10,((D69/100)*10)),-10))+IF(E72="""",0,IF(REGEXMATCH(E72,""W""),IF(E69&lt;0,((-100/E69))*10,((E69/100)*10)),-10))+IF(F72="""",0,IF(REGEXMATCH(F72,""W""),IF(F69&lt;0,((-100/F69))*10,((F69/100)*10)),-10))+IF(G72="""",0,IF(R"&amp;"EGEXMATCH(G72,""W""),IF(G69&lt;0,((-100/G69))*10,((G69/100)*10)),-10))+IF(H72="""",0,IF(REGEXMATCH(H72,""W""),IF(H69&lt;0,((-100/H69))*10,((H69/100)*10)),-10))+IF(I72="""",0,IF(REGEXMATCH(I72,""W""),IF(I69&lt;0,((-100/I69))*10,((I69/100)*10)),-10))+IF(J72="""",0,I"&amp;"F(REGEXMATCH(J72,""W""),IF(J69&lt;0,((-100/J69))*10,((J69/100)*10)),-10))+IF(K72="""",0,IF(REGEXMATCH(K72,""W""),IF(K69&lt;0,((-100/K69))*10,((K69/100)*10)),-10))+IF(L72="""",0,IF(REGEXMATCH(L72,""W""),IF(L69&lt;0,((-100/L69))*10,((L69/100)*10)),-10))))"),-16.784404816716467)</f>
        <v>-16.78440482</v>
      </c>
      <c r="Q77" s="4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</row>
    <row r="79">
      <c r="A79" s="1" t="s">
        <v>90</v>
      </c>
      <c r="B79" s="2"/>
      <c r="C79" s="3" t="s">
        <v>1</v>
      </c>
      <c r="D79" s="3" t="s">
        <v>2</v>
      </c>
      <c r="E79" s="3" t="s">
        <v>3</v>
      </c>
      <c r="F79" s="3" t="s">
        <v>4</v>
      </c>
      <c r="G79" s="3" t="s">
        <v>5</v>
      </c>
      <c r="H79" s="3" t="s">
        <v>6</v>
      </c>
      <c r="I79" s="3" t="s">
        <v>7</v>
      </c>
      <c r="J79" s="3" t="s">
        <v>8</v>
      </c>
      <c r="K79" s="3" t="s">
        <v>9</v>
      </c>
      <c r="L79" s="3" t="s">
        <v>10</v>
      </c>
      <c r="M79" s="2"/>
      <c r="N79" s="4"/>
      <c r="O79" s="3" t="s">
        <v>11</v>
      </c>
      <c r="P79" s="4"/>
      <c r="Q79" s="4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</row>
    <row r="81">
      <c r="A81" s="3" t="s">
        <v>12</v>
      </c>
      <c r="B81" s="2"/>
      <c r="C81" s="5" t="s">
        <v>356</v>
      </c>
      <c r="D81" s="5" t="s">
        <v>357</v>
      </c>
      <c r="E81" s="19" t="s">
        <v>93</v>
      </c>
      <c r="F81" s="5" t="s">
        <v>358</v>
      </c>
      <c r="G81" s="5" t="s">
        <v>359</v>
      </c>
      <c r="H81" s="5" t="s">
        <v>360</v>
      </c>
      <c r="I81" s="5" t="s">
        <v>361</v>
      </c>
      <c r="J81" s="5" t="s">
        <v>362</v>
      </c>
      <c r="K81" s="5" t="s">
        <v>363</v>
      </c>
      <c r="L81" s="5" t="s">
        <v>364</v>
      </c>
      <c r="M81" s="2"/>
      <c r="N81" s="3" t="s">
        <v>13</v>
      </c>
      <c r="O81" s="7">
        <f>IF(AND(C82="",AND(D82="",AND(E82="",AND(F82="",AND(G82="",AND(H82="",AND(I82="",AND(J82="",AND(K82="",L82=""))))))))),"",IF(((IF(C82="",1,IF(C82&gt;0,(C82/100)+1,(100/((-1)*C82))+1)))*(IF(D82="",1,IF(D82&gt;0,(D82/100)+1,(100/((-1)*D82))+1)))*(IF(E82="",1,IF(E82&gt;0,(E82/100)+1,(100/((-1)*E82))+1)))*(IF(F82="",1,IF(F82&gt;0,(F82/100)+1,(100/((-1)*F82))+1)))*(IF(G82="",1,IF(G82&gt;0,(G82/100)+1,(100/((-1)*G82))+1)))*(IF(H82="",1,IF(H82&gt;0,(H82/100)+1,(100/((-1)*H82))+1)))*(IF(I82="",1,IF(I82&gt;0,(I82/100)+1,(100/((-1)*I82))+1)))*(IF(J82="",1,IF(J82&gt;0,(J82/100)+1,(100/((-1)*J82))+1)))*(IF(K82="",1,IF(K82&gt;0,(K82/100)+1,(100/((-1)*K82))+1)))*(IF(L82="",1,IF(L82&gt;0,(L82/100)+1,(100/((-1)*L82))+1))))&lt;2,((-100)/(((IF(C82="",1,IF(C82&gt;0,(C82/100)+1,(100/((-1)*C82))+1)))*(IF(D82="",1,IF(D82&gt;0,(D82/100)+1,(100/((-1)*D82))+1)))*(IF(E82="",1,IF(E82&gt;0,(E82/100)+1,(100/((-1)*E82))+1)))*(IF(F82="",1,IF(F82&gt;0,(F82/100)+1,(100/((-1)*F82))+1)))*(IF(G82="",1,IF(G82&gt;0,(G82/100)+1,(100/((-1)*G82))+1)))*(IF(H82="",1,IF(H82&gt;0,(H82/100)+1,(100/((-1)*H82))+1)))*(IF(I82="",1,IF(I82&gt;0,(I82/100)+1,(100/((-1)*I82))+1)))*(IF(J82="",1,IF(J82&gt;0,(J82/100)+1,(100/((-1)*J82))+1)))*(IF(K82="",1,IF(K82&gt;0,(K82/100)+1,(100/((-1)*K82))+1)))*(IF(L82="",1,IF(L82&gt;0,(L82/100)+1,(100/((-1)*L82))+1))))-1)),((((IF(C82="",1,IF(C82&gt;0,(C82/100)+1,(100/((-1)*C82))+1)))*(IF(D82="",1,IF(D82&gt;0,(D82/100)+1,(100/((-1)*D82))+1)))*(IF(E82="",1,IF(E82&gt;0,(E82/100)+1,(100/((-1)*E82))+1)))*(IF(F82="",1,IF(F82&gt;0,(F82/100)+1,(100/((-1)*F82))+1)))*(IF(G82="",1,IF(G82&gt;0,(G82/100)+1,(100/((-1)*G82))+1)))*(IF(H82="",1,IF(H82&gt;0,(H82/100)+1,(100/((-1)*H82))+1)))*(IF(I82="",1,IF(I82&gt;0,(I82/100)+1,(100/((-1)*I82))+1)))*(IF(J82="",1,IF(J82&gt;0,(J82/100)+1,(100/((-1)*J82))+1)))*(IF(K82="",1,IF(K82&gt;0,(K82/100)+1,(100/((-1)*K82))+1)))*(IF(L82="",1,IF(L82&gt;0,(L82/100)+1,(100/((-1)*L82))+1))))-1)*(100))))</f>
        <v>56334.60782</v>
      </c>
      <c r="P81" s="4"/>
      <c r="Q81" s="8" t="s">
        <v>35</v>
      </c>
    </row>
    <row r="82">
      <c r="A82" s="3" t="s">
        <v>13</v>
      </c>
      <c r="B82" s="2"/>
      <c r="C82" s="5">
        <v>-112.0</v>
      </c>
      <c r="D82" s="5">
        <v>-125.0</v>
      </c>
      <c r="E82" s="5">
        <v>-135.0</v>
      </c>
      <c r="F82" s="5">
        <v>115.0</v>
      </c>
      <c r="G82" s="5">
        <v>-101.0</v>
      </c>
      <c r="H82" s="5">
        <v>118.0</v>
      </c>
      <c r="I82" s="5">
        <v>-130.0</v>
      </c>
      <c r="J82" s="5">
        <v>-159.0</v>
      </c>
      <c r="K82" s="5">
        <v>-123.0</v>
      </c>
      <c r="L82" s="5">
        <v>-105.0</v>
      </c>
      <c r="M82" s="2">
        <v>6.0</v>
      </c>
      <c r="N82" s="3" t="s">
        <v>36</v>
      </c>
      <c r="O82" s="10">
        <f>IF(AND(C82="",AND(D82="",AND(E82="",AND(F82="",AND(G82="",AND(H82="",AND(I82="",AND(J82="",AND(K82="",L82=""))))))))),"",10+IF((IF(((IF(C82="",1,IF(C82&gt;0,(C82/100)+1,(100/((-1)*C82))+1)))*(IF(D82="",1,IF(D82&gt;0,(D82/100)+1,(100/((-1)*D82))+1)))*(IF(E82="",1,IF(E82&gt;0,(E82/100)+1,(100/((-1)*E82))+1)))*(IF(F82="",1,IF(F82&gt;0,(F82/100)+1,(100/((-1)*F82))+1)))*(IF(G82="",1,IF(G82&gt;0,(G82/100)+1,(100/((-1)*G82))+1)))*(IF(H82="",1,IF(H82&gt;0,(H82/100)+1,(100/((-1)*H82))+1)))*(IF(I82="",1,IF(I82&gt;0,(I82/100)+1,(100/((-1)*I82))+1)))*(IF(J82="",1,IF(J82&gt;0,(J82/100)+1,(100/((-1)*J82))+1)))*(IF(K82="",1,IF(K82&gt;0,(K82/100)+1,(100/((-1)*K82))+1)))*(IF(L82="",1,IF(L82&gt;0,(L82/100)+1,(100/((-1)*L82))+1))))&lt;2,((-100)/(((IF(C82="",1,IF(C82&gt;0,(C82/100)+1,(100/((-1)*C82))+1)))*(IF(D82="",1,IF(D82&gt;0,(D82/100)+1,(100/((-1)*D82))+1)))*(IF(E82="",1,IF(E82&gt;0,(E82/100)+1,(100/((-1)*E82))+1)))*(IF(F82="",1,IF(F82&gt;0,(F82/100)+1,(100/((-1)*F82))+1)))*(IF(G82="",1,IF(G82&gt;0,(G82/100)+1,(100/((-1)*G82))+1)))*(IF(H82="",1,IF(H82&gt;0,(H82/100)+1,(100/((-1)*H82))+1)))*(IF(I82="",1,IF(I82&gt;0,(I82/100)+1,(100/((-1)*I82))+1)))*(IF(J82="",1,IF(J82&gt;0,(J82/100)+1,(100/((-1)*J82))+1)))*(IF(K82="",1,IF(K82&gt;0,(K82/100)+1,(100/((-1)*K82))+1)))*(IF(L82="",1,IF(L82&gt;0,(L82/100)+1,(100/((-1)*L82))+1))))-1)),((((IF(C82="",1,IF(C82&gt;0,(C82/100)+1,(100/((-1)*C82))+1)))*(IF(D82="",1,IF(D82&gt;0,(D82/100)+1,(100/((-1)*D82))+1)))*(IF(E82="",1,IF(E82&gt;0,(E82/100)+1,(100/((-1)*E82))+1)))*(IF(F82="",1,IF(F82&gt;0,(F82/100)+1,(100/((-1)*F82))+1)))*(IF(G82="",1,IF(G82&gt;0,(G82/100)+1,(100/((-1)*G82))+1)))*(IF(H82="",1,IF(H82&gt;0,(H82/100)+1,(100/((-1)*H82))+1)))*(IF(I82="",1,IF(I82&gt;0,(I82/100)+1,(100/((-1)*I82))+1)))*(IF(J82="",1,IF(J82&gt;0,(J82/100)+1,(100/((-1)*J82))+1)))*(IF(K82="",1,IF(K82&gt;0,(K82/100)+1,(100/((-1)*K82))+1)))*(IF(L82="",1,IF(L82&gt;0,(L82/100)+1,(100/((-1)*L82))+1))))-1)*(100))))&lt;0,(((-100)/((IF(((IF(C82="",1,IF(C82&gt;0,(C82/100)+1,(100/((-1)*C82))+1)))*(IF(D82="",1,IF(D82&gt;0,(D82/100)+1,(100/((-1)*D82))+1)))*(IF(E82="",1,IF(E82&gt;0,(E82/100)+1,(100/((-1)*E82))+1)))*(IF(F82="",1,IF(F82&gt;0,(F82/100)+1,(100/((-1)*F82))+1)))*(IF(G82="",1,IF(G82&gt;0,(G82/100)+1,(100/((-1)*G82))+1)))*(IF(H82="",1,IF(H82&gt;0,(H82/100)+1,(100/((-1)*H82))+1)))*(IF(I82="",1,IF(I82&gt;0,(I82/100)+1,(100/((-1)*I82))+1)))*(IF(J82="",1,IF(J82&gt;0,(J82/100)+1,(100/((-1)*J82))+1)))*(IF(K82="",1,IF(K82&gt;0,(K82/100)+1,(100/((-1)*K82))+1)))*(IF(L82="",1,IF(L82&gt;0,(L82/100)+1,(100/((-1)*L82))+1))))&lt;2,((-100)/(((IF(C82="",1,IF(C82&gt;0,(C82/100)+1,(100/((-1)*C82))+1)))*(IF(D82="",1,IF(D82&gt;0,(D82/100)+1,(100/((-1)*D82))+1)))*(IF(E82="",1,IF(E82&gt;0,(E82/100)+1,(100/((-1)*E82))+1)))*(IF(F82="",1,IF(F82&gt;0,(F82/100)+1,(100/((-1)*F82))+1)))*(IF(G82="",1,IF(G82&gt;0,(G82/100)+1,(100/((-1)*G82))+1)))*(IF(H82="",1,IF(H82&gt;0,(H82/100)+1,(100/((-1)*H82))+1)))*(IF(I82="",1,IF(I82&gt;0,(I82/100)+1,(100/((-1)*I82))+1)))*(IF(J82="",1,IF(J82&gt;0,(J82/100)+1,(100/((-1)*J82))+1)))*(IF(K82="",1,IF(K82&gt;0,(K82/100)+1,(100/((-1)*K82))+1)))*(IF(L82="",1,IF(L82&gt;0,(L82/100)+1,(100/((-1)*L82))+1))))-1)),((((IF(C82="",1,IF(C82&gt;0,(C82/100)+1,(100/((-1)*C82))+1)))*(IF(D82="",1,IF(D82&gt;0,(D82/100)+1,(100/((-1)*D82))+1)))*(IF(E82="",1,IF(E82&gt;0,(E82/100)+1,(100/((-1)*E82))+1)))*(IF(F82="",1,IF(F82&gt;0,(F82/100)+1,(100/((-1)*F82))+1)))*(IF(G82="",1,IF(G82&gt;0,(G82/100)+1,(100/((-1)*G82))+1)))*(IF(H82="",1,IF(H82&gt;0,(H82/100)+1,(100/((-1)*H82))+1)))*(IF(I82="",1,IF(I82&gt;0,(I82/100)+1,(100/((-1)*I82))+1)))*(IF(J82="",1,IF(J82&gt;0,(J82/100)+1,(100/((-1)*J82))+1)))*(IF(K82="",1,IF(K82&gt;0,(K82/100)+1,(100/((-1)*K82))+1)))*(IF(L82="",1,IF(L82&gt;0,(L82/100)+1,(100/((-1)*L82))+1))))-1)*(100))))))*10),(((IF(((IF(C82="",1,IF(C82&gt;0,(C82/100)+1,(100/((-1)*C82))+1)))*(IF(D82="",1,IF(D82&gt;0,(D82/100)+1,(100/((-1)*D82))+1)))*(IF(E82="",1,IF(E82&gt;0,(E82/100)+1,(100/((-1)*E82))+1)))*(IF(F82="",1,IF(F82&gt;0,(F82/100)+1,(100/((-1)*F82))+1)))*(IF(G82="",1,IF(G82&gt;0,(G82/100)+1,(100/((-1)*G82))+1)))*(IF(H82="",1,IF(H82&gt;0,(H82/100)+1,(100/((-1)*H82))+1)))*(IF(I82="",1,IF(I82&gt;0,(I82/100)+1,(100/((-1)*I82))+1)))*(IF(J82="",1,IF(J82&gt;0,(J82/100)+1,(100/((-1)*J82))+1)))*(IF(K82="",1,IF(K82&gt;0,(K82/100)+1,(100/((-1)*K82))+1)))*(IF(L82="",1,IF(L82&gt;0,(L82/100)+1,(100/((-1)*L82))+1))))&lt;2,((-100)/(((IF(C82="",1,IF(C82&gt;0,(C82/100)+1,(100/((-1)*C82))+1)))*(IF(D82="",1,IF(D82&gt;0,(D82/100)+1,(100/((-1)*D82))+1)))*(IF(E82="",1,IF(E82&gt;0,(E82/100)+1,(100/((-1)*E82))+1)))*(IF(F82="",1,IF(F82&gt;0,(F82/100)+1,(100/((-1)*F82))+1)))*(IF(G82="",1,IF(G82&gt;0,(G82/100)+1,(100/((-1)*G82))+1)))*(IF(H82="",1,IF(H82&gt;0,(H82/100)+1,(100/((-1)*H82))+1)))*(IF(I82="",1,IF(I82&gt;0,(I82/100)+1,(100/((-1)*I82))+1)))*(IF(J82="",1,IF(J82&gt;0,(J82/100)+1,(100/((-1)*J82))+1)))*(IF(K82="",1,IF(K82&gt;0,(K82/100)+1,(100/((-1)*K82))+1)))*(IF(L82="",1,IF(L82&gt;0,(L82/100)+1,(100/((-1)*L82))+1))))-1)),((((IF(C82="",1,IF(C82&gt;0,(C82/100)+1,(100/((-1)*C82))+1)))*(IF(D82="",1,IF(D82&gt;0,(D82/100)+1,(100/((-1)*D82))+1)))*(IF(E82="",1,IF(E82&gt;0,(E82/100)+1,(100/((-1)*E82))+1)))*(IF(F82="",1,IF(F82&gt;0,(F82/100)+1,(100/((-1)*F82))+1)))*(IF(G82="",1,IF(G82&gt;0,(G82/100)+1,(100/((-1)*G82))+1)))*(IF(H82="",1,IF(H82&gt;0,(H82/100)+1,(100/((-1)*H82))+1)))*(IF(I82="",1,IF(I82&gt;0,(I82/100)+1,(100/((-1)*I82))+1)))*(IF(J82="",1,IF(J82&gt;0,(J82/100)+1,(100/((-1)*J82))+1)))*(IF(K82="",1,IF(K82&gt;0,(K82/100)+1,(100/((-1)*K82))+1)))*(IF(L82="",1,IF(L82&gt;0,(L82/100)+1,(100/((-1)*L82))+1))))-1)*(100))))/100)*10)))</f>
        <v>5643.460782</v>
      </c>
      <c r="P82" s="4"/>
      <c r="Q82" s="4"/>
    </row>
    <row r="83">
      <c r="A83" s="3" t="s">
        <v>37</v>
      </c>
      <c r="B83" s="2"/>
      <c r="C83" s="5" t="s">
        <v>383</v>
      </c>
      <c r="D83" s="5" t="s">
        <v>384</v>
      </c>
      <c r="E83" s="5" t="s">
        <v>385</v>
      </c>
      <c r="F83" s="5" t="s">
        <v>386</v>
      </c>
      <c r="G83" s="5" t="s">
        <v>387</v>
      </c>
      <c r="H83" s="5" t="s">
        <v>388</v>
      </c>
      <c r="I83" s="5" t="s">
        <v>389</v>
      </c>
      <c r="J83" s="5" t="s">
        <v>390</v>
      </c>
      <c r="K83" s="5" t="s">
        <v>391</v>
      </c>
      <c r="L83" s="5" t="s">
        <v>392</v>
      </c>
      <c r="M83" s="2"/>
      <c r="N83" s="4"/>
      <c r="O83" s="4"/>
      <c r="P83" s="4"/>
      <c r="Q83" s="4"/>
    </row>
    <row r="84">
      <c r="A84" s="3" t="s">
        <v>48</v>
      </c>
      <c r="B84" s="2"/>
      <c r="C84" s="5" t="s">
        <v>393</v>
      </c>
      <c r="D84" s="5" t="s">
        <v>322</v>
      </c>
      <c r="E84" s="5" t="s">
        <v>377</v>
      </c>
      <c r="F84" s="5" t="s">
        <v>394</v>
      </c>
      <c r="G84" s="5" t="s">
        <v>395</v>
      </c>
      <c r="H84" s="11">
        <v>45950.0</v>
      </c>
      <c r="I84" s="5" t="s">
        <v>396</v>
      </c>
      <c r="J84" s="5" t="s">
        <v>397</v>
      </c>
      <c r="K84" s="5" t="s">
        <v>398</v>
      </c>
      <c r="L84" s="11">
        <v>45924.0</v>
      </c>
      <c r="M84" s="2"/>
      <c r="N84" s="4"/>
      <c r="O84" s="3" t="s">
        <v>56</v>
      </c>
      <c r="P84" s="3" t="s">
        <v>57</v>
      </c>
      <c r="Q84" s="4"/>
    </row>
    <row r="85">
      <c r="A85" s="3" t="s">
        <v>59</v>
      </c>
      <c r="B85" s="2"/>
      <c r="C85" s="5" t="s">
        <v>60</v>
      </c>
      <c r="D85" s="5" t="s">
        <v>60</v>
      </c>
      <c r="E85" s="5" t="s">
        <v>60</v>
      </c>
      <c r="F85" s="5" t="s">
        <v>60</v>
      </c>
      <c r="G85" s="5" t="s">
        <v>60</v>
      </c>
      <c r="H85" s="5" t="s">
        <v>62</v>
      </c>
      <c r="I85" s="5" t="s">
        <v>60</v>
      </c>
      <c r="J85" s="5" t="s">
        <v>60</v>
      </c>
      <c r="K85" s="5" t="s">
        <v>62</v>
      </c>
      <c r="L85" s="5" t="s">
        <v>62</v>
      </c>
      <c r="M85" s="2"/>
      <c r="N85" s="3" t="s">
        <v>65</v>
      </c>
      <c r="O85" s="12" t="str">
        <f>IFERROR(__xludf.DUMMYFUNCTION("IF(OR(COUNTA(C82:L82) = 0, COUNTA(C85:L85) = 0), """", IFERROR(TEXTJOIN("", "", TRUE, FILTER(C79:L79, (C85:L85 = ""W"") * (C82:L82 = MAX(FILTER(C82:L82, C85:L85 = ""W""))))), """"))"),"Dan")</f>
        <v>Dan</v>
      </c>
      <c r="P85" s="12" t="str">
        <f>IFERROR(__xludf.DUMMYFUNCTION("IF(COUNTA(C90:L90) = 0, """", IFERROR(TEXTJOIN("", "", TRUE, FILTER(C79:L79, C90:L90 = MAX(C90:L90))), """"))"),"Austin")</f>
        <v>Austin</v>
      </c>
      <c r="Q85" s="4"/>
    </row>
    <row r="86">
      <c r="A86" s="1" t="s">
        <v>81</v>
      </c>
      <c r="B86" s="2"/>
      <c r="C86" s="4">
        <f t="shared" ref="C86:L86" si="25">IF(OR(C82="",C85=""),"",C73+COUNTIF(C85,"W"))</f>
        <v>6</v>
      </c>
      <c r="D86" s="4">
        <f t="shared" si="25"/>
        <v>5</v>
      </c>
      <c r="E86" s="4">
        <f t="shared" si="25"/>
        <v>3</v>
      </c>
      <c r="F86" s="4">
        <f t="shared" si="25"/>
        <v>2</v>
      </c>
      <c r="G86" s="4">
        <f t="shared" si="25"/>
        <v>5</v>
      </c>
      <c r="H86" s="4">
        <f t="shared" si="25"/>
        <v>3</v>
      </c>
      <c r="I86" s="4">
        <f t="shared" si="25"/>
        <v>3</v>
      </c>
      <c r="J86" s="4">
        <f t="shared" si="25"/>
        <v>4</v>
      </c>
      <c r="K86" s="4">
        <f t="shared" si="25"/>
        <v>5</v>
      </c>
      <c r="L86" s="4">
        <f t="shared" si="25"/>
        <v>3</v>
      </c>
      <c r="M86" s="2"/>
      <c r="N86" s="3" t="s">
        <v>82</v>
      </c>
      <c r="O86" s="4" t="str">
        <f>IFERROR(__xludf.DUMMYFUNCTION("IF(OR(COUNTA(C82:L82) = 0, COUNTA(C85:L85) = 0), """", IFERROR(TEXTJOIN("", "", TRUE, FILTER(C79:L79, (C85:L85 = ""L"") * (C82:L82 = MIN(FILTER(C82:L82, C85:L85 = ""L""))))), """"))"),"Taylon")</f>
        <v>Taylon</v>
      </c>
      <c r="P86" s="12" t="str">
        <f>IFERROR(__xludf.DUMMYFUNCTION("IF(COUNTA(C90:L90) = 0, """", IFERROR(TEXTJOIN("", "", TRUE, FILTER(C79:L79, C90:L90 = MIN(C90:L90))), """"))"),"Dan")</f>
        <v>Dan</v>
      </c>
      <c r="Q86" s="4"/>
    </row>
    <row r="87">
      <c r="A87" s="1" t="s">
        <v>83</v>
      </c>
      <c r="B87" s="2"/>
      <c r="C87" s="27">
        <f t="shared" ref="C87:L87" si="26">IF(OR(C82="",C85=""),"",C74+COUNTIF(C85,"L"))</f>
        <v>1</v>
      </c>
      <c r="D87" s="27">
        <f t="shared" si="26"/>
        <v>2</v>
      </c>
      <c r="E87" s="27">
        <f t="shared" si="26"/>
        <v>4</v>
      </c>
      <c r="F87" s="27">
        <f t="shared" si="26"/>
        <v>5</v>
      </c>
      <c r="G87" s="27">
        <f t="shared" si="26"/>
        <v>2</v>
      </c>
      <c r="H87" s="27">
        <f t="shared" si="26"/>
        <v>4</v>
      </c>
      <c r="I87" s="27">
        <f t="shared" si="26"/>
        <v>4</v>
      </c>
      <c r="J87" s="27">
        <f t="shared" si="26"/>
        <v>3</v>
      </c>
      <c r="K87" s="27">
        <f t="shared" si="26"/>
        <v>2</v>
      </c>
      <c r="L87" s="27">
        <f t="shared" si="26"/>
        <v>4</v>
      </c>
      <c r="M87" s="2"/>
      <c r="N87" s="3" t="s">
        <v>84</v>
      </c>
      <c r="O87" s="12" t="str">
        <f>IFERROR(__xludf.DUMMYFUNCTION("IF(COUNTA(C82:L82) = 0, """", IFERROR(TEXTJOIN("", "", TRUE, FILTER(C79:L79, C82:L82 = MAX(C82:L82))), """"))"),"Jake")</f>
        <v>Jake</v>
      </c>
      <c r="P87" s="4" t="str">
        <f>IFERROR(__xludf.DUMMYFUNCTION("IF(COUNTA(C82:L82) = 0, """", IFERROR(TEXTJOIN("", "", TRUE, FILTER(C79:L79, C89:L89 = MAX(C89:L89))), """"))"),"Jake")</f>
        <v>Jake</v>
      </c>
      <c r="Q87" s="4"/>
    </row>
    <row r="88">
      <c r="A88" s="3" t="s">
        <v>85</v>
      </c>
      <c r="B88" s="2"/>
      <c r="C88" s="24">
        <f t="shared" ref="C88:L88" si="27">IF(OR(C82="",C85=""),"",(C86/(C86+C87)))</f>
        <v>0.8571428571</v>
      </c>
      <c r="D88" s="24">
        <f t="shared" si="27"/>
        <v>0.7142857143</v>
      </c>
      <c r="E88" s="24">
        <f t="shared" si="27"/>
        <v>0.4285714286</v>
      </c>
      <c r="F88" s="24">
        <f t="shared" si="27"/>
        <v>0.2857142857</v>
      </c>
      <c r="G88" s="24">
        <f t="shared" si="27"/>
        <v>0.7142857143</v>
      </c>
      <c r="H88" s="24">
        <f t="shared" si="27"/>
        <v>0.4285714286</v>
      </c>
      <c r="I88" s="24">
        <f t="shared" si="27"/>
        <v>0.4285714286</v>
      </c>
      <c r="J88" s="24">
        <f t="shared" si="27"/>
        <v>0.5714285714</v>
      </c>
      <c r="K88" s="24">
        <f t="shared" si="27"/>
        <v>0.7142857143</v>
      </c>
      <c r="L88" s="24">
        <f t="shared" si="27"/>
        <v>0.4285714286</v>
      </c>
      <c r="M88" s="14"/>
      <c r="N88" s="3" t="s">
        <v>86</v>
      </c>
      <c r="O88" s="4" t="str">
        <f>IFERROR(__xludf.DUMMYFUNCTION("IF(COUNTA(C82:L82) = 0, """", IFERROR(TEXTJOIN("", "", TRUE, FILTER(C79:L79, C82:L82 = MIN(C82:L82))), """"))"),"Tanner")</f>
        <v>Tanner</v>
      </c>
      <c r="P88" s="4" t="str">
        <f>IFERROR(__xludf.DUMMYFUNCTION("IF(COUNTA(C82:L82) = 0, """", IFERROR(TEXTJOIN("", "", TRUE, FILTER(C79:L79, C89:L89 = MIN(C89:L89))), """"))"),"Nick")</f>
        <v>Nick</v>
      </c>
      <c r="Q88" s="4"/>
    </row>
    <row r="89">
      <c r="A89" s="3" t="s">
        <v>87</v>
      </c>
      <c r="B89" s="2"/>
      <c r="C89" s="25">
        <f t="shared" ref="C89:L89" si="28">IF(C82="","",IF(((IF(C82 &lt;0,((-100/C82)+1),((C82/100)+1))+(IF(C76&lt;0,((-100/C76)+1),((C76/100)+1)))*(C73+C74))/(C73+C74+1))&lt;2,(-100/(((IF(C82 &lt;0,((-100/C82)+1),((C82/100)+1))+(IF(C76&lt;0,((-100/C76)+1),((C76/100)+1)))*(C73+C74))/(C73+C74+1))-1)),(((IF(C82 &lt;0,((-100/C82)+1),((C82/100)+1))+(IF(C76&lt;0,((-100/C76)+1),((C76/100)+1)))*(C73+C74))/(C73+C74+1))-1)*100))</f>
        <v>-131.1777927</v>
      </c>
      <c r="D89" s="25">
        <f t="shared" si="28"/>
        <v>-134.2282614</v>
      </c>
      <c r="E89" s="25">
        <f t="shared" si="28"/>
        <v>-129.1760113</v>
      </c>
      <c r="F89" s="25">
        <f t="shared" si="28"/>
        <v>-117.7674532</v>
      </c>
      <c r="G89" s="25">
        <f t="shared" si="28"/>
        <v>-107.5048185</v>
      </c>
      <c r="H89" s="25">
        <f t="shared" si="28"/>
        <v>110.5986395</v>
      </c>
      <c r="I89" s="25">
        <f t="shared" si="28"/>
        <v>-134.611272</v>
      </c>
      <c r="J89" s="25">
        <f t="shared" si="28"/>
        <v>-133.3469301</v>
      </c>
      <c r="K89" s="25">
        <f t="shared" si="28"/>
        <v>-121.9648671</v>
      </c>
      <c r="L89" s="25">
        <f t="shared" si="28"/>
        <v>-110.5929537</v>
      </c>
      <c r="M89" s="14"/>
      <c r="N89" s="4"/>
      <c r="O89" s="12"/>
      <c r="P89" s="12"/>
      <c r="Q89" s="4"/>
    </row>
    <row r="90">
      <c r="A90" s="16" t="s">
        <v>88</v>
      </c>
      <c r="B90" s="2"/>
      <c r="C90" s="26">
        <f>IFERROR(__xludf.DUMMYFUNCTION("IF(OR(C82="""",C85=""""),"""",IF(REGEXMATCH(C85,""W""),IF(C82&lt;0,((-100/C82))*10+C77,((C82/100)*10+C77)),-10+C77))"),36.46613914240528)</f>
        <v>36.46613914</v>
      </c>
      <c r="D90" s="26">
        <f>IFERROR(__xludf.DUMMYFUNCTION("IF(OR(D82="""",D85=""""),"""",IF(REGEXMATCH(D85,""W""),IF(D82&lt;0,((-100/D82))*10+D77,((D82/100)*10+D77)),-10+D77))"),15.360663288807)</f>
        <v>15.36066329</v>
      </c>
      <c r="E90" s="26">
        <f>IFERROR(__xludf.DUMMYFUNCTION("IF(OR(E82="""",E85=""""),"""",IF(REGEXMATCH(E85,""W""),IF(E82&lt;0,((-100/E82))*10+E77,((E82/100)*10+E77)),-10+E77))"),-17.666388192703984)</f>
        <v>-17.66638819</v>
      </c>
      <c r="F90" s="26">
        <f>IFERROR(__xludf.DUMMYFUNCTION("IF(OR(F82="""",F85=""""),"""",IF(REGEXMATCH(F85,""W""),IF(F82&lt;0,((-100/F82))*10+F77,((F82/100)*10+F77)),-10+F77))"),-29.804347826086953)</f>
        <v>-29.80434783</v>
      </c>
      <c r="G90" s="26">
        <f>IFERROR(__xludf.DUMMYFUNCTION("IF(OR(G82="""",G85=""""),"""",IF(REGEXMATCH(G85,""W""),IF(G82&lt;0,((-100/G82))*10+G77,((G82/100)*10+G77)),-10+G77))"),25.104351443547714)</f>
        <v>25.10435144</v>
      </c>
      <c r="H90" s="26">
        <f>IFERROR(__xludf.DUMMYFUNCTION("IF(OR(H82="""",H85=""""),"""",IF(REGEXMATCH(H85,""W""),IF(H82&lt;0,((-100/H82))*10+H77,((H82/100)*10+H77)),-10+H77))"),-3.7380952380952355)</f>
        <v>-3.738095238</v>
      </c>
      <c r="I90" s="26">
        <f>IFERROR(__xludf.DUMMYFUNCTION("IF(OR(I82="""",I85=""""),"""",IF(REGEXMATCH(I85,""W""),IF(I82&lt;0,((-100/I82))*10+I77,((I82/100)*10+I77)),-10+I77))"),-21.096512183468704)</f>
        <v>-21.09651218</v>
      </c>
      <c r="J90" s="26">
        <f>IFERROR(__xludf.DUMMYFUNCTION("IF(OR(J82="""",J85=""""),"""",IF(REGEXMATCH(J85,""W""),IF(J82&lt;0,((-100/J82))*10+J77,((J82/100)*10+J77)),-10+J77))"),-4.536807971565005)</f>
        <v>-4.536807972</v>
      </c>
      <c r="K90" s="26">
        <f>IFERROR(__xludf.DUMMYFUNCTION("IF(OR(K82="""",K85=""""),"""",IF(REGEXMATCH(K85,""W""),IF(K82&lt;0,((-100/K82))*10+K77,((K82/100)*10+K77)),-10+K77))"),22.36694402860752)</f>
        <v>22.36694403</v>
      </c>
      <c r="L90" s="26">
        <f>IFERROR(__xludf.DUMMYFUNCTION("IF(OR(L82="""",L85=""""),"""",IF(REGEXMATCH(L85,""W""),IF(L82&lt;0,((-100/L82))*10+L77,((L82/100)*10+L77)),-10+L77))"),-9.521766504767045)</f>
        <v>-9.521766505</v>
      </c>
      <c r="M90" s="14"/>
      <c r="N90" s="16" t="s">
        <v>89</v>
      </c>
      <c r="O90" s="10">
        <f>IFERROR(__xludf.DUMMYFUNCTION("IF(AND(C90="""",AND(D90="""",AND(E90="""",AND(F90="""",AND(G90="""",AND(H90="""",AND(I90="""",AND(J90="""",AND(K90="""",L90=""""))))))))),"""",(IF(C85="""",0,IF(REGEXMATCH(C85,""W""),IF(C82&lt;0,((-100/C82))*10,((C82/100)*10)),-10))+IF(D85="""",0,IF(REGEXMAT"&amp;"CH(D85,""W""),IF(D82&lt;0,((-100/D82))*10,((D82/100)*10)),-10))+IF(E85="""",0,IF(REGEXMATCH(E85,""W""),IF(E82&lt;0,((-100/E82))*10,((E82/100)*10)),-10))+IF(F85="""",0,IF(REGEXMATCH(F85,""W""),IF(F82&lt;0,((-100/F82))*10,((F82/100)*10)),-10))+IF(G85="""",0,IF(REGEX"&amp;"MATCH(G85,""W""),IF(G82&lt;0,((-100/G82))*10,((G82/100)*10)),-10))+IF(H85="""",0,IF(REGEXMATCH(H85,""W""),IF(H82&lt;0,((-100/H82))*10,((H82/100)*10)),-10))+IF(I85="""",0,IF(REGEXMATCH(I85,""W""),IF(I82&lt;0,((-100/I82))*10,((I82/100)*10)),-10))+IF(J85="""",0,IF(RE"&amp;"GEXMATCH(J85,""W""),IF(J82&lt;0,((-100/J82))*10,((J82/100)*10)),-10))+IF(K85="""",0,IF(REGEXMATCH(K85,""W""),IF(K82&lt;0,((-100/K82))*10,((K82/100)*10)),-10))+IF(L85="""",0,IF(REGEXMATCH(L85,""W""),IF(L82&lt;0,((-100/L82))*10,((L82/100)*10)),-10))))"),29.718584803397057)</f>
        <v>29.7185848</v>
      </c>
      <c r="P90" s="10">
        <f>IFERROR(__xludf.DUMMYFUNCTION("IF(AND(C90="""",AND(D90="""",AND(E90="""",AND(F90="""",AND(G90="""",AND(H90="""",AND(I90="""",AND(J90="""",AND(K90="""",L90=""""))))))))),"""",(P77+IF(C85="""",0,IF(REGEXMATCH(C85,""W""),IF(C82&lt;0,((-100/C82))*10,((C82/100)*10)),-10))+IF(D85="""",0,IF(REGE"&amp;"XMATCH(D85,""W""),IF(D82&lt;0,((-100/D82))*10,((D82/100)*10)),-10))+IF(E85="""",0,IF(REGEXMATCH(E85,""W""),IF(E82&lt;0,((-100/E82))*10,((E82/100)*10)),-10))+IF(F85="""",0,IF(REGEXMATCH(F85,""W""),IF(F82&lt;0,((-100/F82))*10,((F82/100)*10)),-10))+IF(G85="""",0,IF(R"&amp;"EGEXMATCH(G85,""W""),IF(G82&lt;0,((-100/G82))*10,((G82/100)*10)),-10))+IF(H85="""",0,IF(REGEXMATCH(H85,""W""),IF(H82&lt;0,((-100/H82))*10,((H82/100)*10)),-10))+IF(I85="""",0,IF(REGEXMATCH(I85,""W""),IF(I82&lt;0,((-100/I82))*10,((I82/100)*10)),-10))+IF(J85="""",0,I"&amp;"F(REGEXMATCH(J85,""W""),IF(J82&lt;0,((-100/J82))*10,((J82/100)*10)),-10))+IF(K85="""",0,IF(REGEXMATCH(K85,""W""),IF(K82&lt;0,((-100/K82))*10,((K82/100)*10)),-10))+IF(L85="""",0,IF(REGEXMATCH(L85,""W""),IF(L82&lt;0,((-100/L82))*10,((L82/100)*10)),-10))))"),12.93417998668059)</f>
        <v>12.93417999</v>
      </c>
      <c r="Q90" s="4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</row>
    <row r="92">
      <c r="A92" s="1" t="s">
        <v>160</v>
      </c>
      <c r="B92" s="2"/>
      <c r="C92" s="3" t="s">
        <v>1</v>
      </c>
      <c r="D92" s="3" t="s">
        <v>2</v>
      </c>
      <c r="E92" s="3" t="s">
        <v>3</v>
      </c>
      <c r="F92" s="3" t="s">
        <v>4</v>
      </c>
      <c r="G92" s="3" t="s">
        <v>5</v>
      </c>
      <c r="H92" s="3" t="s">
        <v>6</v>
      </c>
      <c r="I92" s="3" t="s">
        <v>7</v>
      </c>
      <c r="J92" s="3" t="s">
        <v>8</v>
      </c>
      <c r="K92" s="3" t="s">
        <v>9</v>
      </c>
      <c r="L92" s="3" t="s">
        <v>10</v>
      </c>
      <c r="M92" s="2"/>
      <c r="N92" s="4"/>
      <c r="O92" s="3" t="s">
        <v>11</v>
      </c>
      <c r="P92" s="4"/>
      <c r="Q92" s="4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>
      <c r="A94" s="3" t="s">
        <v>12</v>
      </c>
      <c r="B94" s="2"/>
      <c r="C94" s="5" t="s">
        <v>407</v>
      </c>
      <c r="D94" s="5" t="s">
        <v>408</v>
      </c>
      <c r="E94" s="19" t="s">
        <v>409</v>
      </c>
      <c r="F94" s="5" t="s">
        <v>405</v>
      </c>
      <c r="G94" s="5" t="s">
        <v>410</v>
      </c>
      <c r="H94" s="5" t="s">
        <v>356</v>
      </c>
      <c r="I94" s="5" t="s">
        <v>411</v>
      </c>
      <c r="J94" s="5" t="s">
        <v>412</v>
      </c>
      <c r="K94" s="5" t="s">
        <v>413</v>
      </c>
      <c r="L94" s="5" t="s">
        <v>414</v>
      </c>
      <c r="M94" s="2"/>
      <c r="N94" s="3" t="s">
        <v>13</v>
      </c>
      <c r="O94" s="7">
        <f>IF(AND(C95="",AND(D95="",AND(E95="",AND(F95="",AND(G95="",AND(H95="",AND(I95="",AND(J95="",AND(K95="",L95=""))))))))),"",IF(((IF(C95="",1,IF(C95&gt;0,(C95/100)+1,(100/((-1)*C95))+1)))*(IF(D95="",1,IF(D95&gt;0,(D95/100)+1,(100/((-1)*D95))+1)))*(IF(E95="",1,IF(E95&gt;0,(E95/100)+1,(100/((-1)*E95))+1)))*(IF(F95="",1,IF(F95&gt;0,(F95/100)+1,(100/((-1)*F95))+1)))*(IF(G95="",1,IF(G95&gt;0,(G95/100)+1,(100/((-1)*G95))+1)))*(IF(H95="",1,IF(H95&gt;0,(H95/100)+1,(100/((-1)*H95))+1)))*(IF(I95="",1,IF(I95&gt;0,(I95/100)+1,(100/((-1)*I95))+1)))*(IF(J95="",1,IF(J95&gt;0,(J95/100)+1,(100/((-1)*J95))+1)))*(IF(K95="",1,IF(K95&gt;0,(K95/100)+1,(100/((-1)*K95))+1)))*(IF(L95="",1,IF(L95&gt;0,(L95/100)+1,(100/((-1)*L95))+1))))&lt;2,((-100)/(((IF(C95="",1,IF(C95&gt;0,(C95/100)+1,(100/((-1)*C95))+1)))*(IF(D95="",1,IF(D95&gt;0,(D95/100)+1,(100/((-1)*D95))+1)))*(IF(E95="",1,IF(E95&gt;0,(E95/100)+1,(100/((-1)*E95))+1)))*(IF(F95="",1,IF(F95&gt;0,(F95/100)+1,(100/((-1)*F95))+1)))*(IF(G95="",1,IF(G95&gt;0,(G95/100)+1,(100/((-1)*G95))+1)))*(IF(H95="",1,IF(H95&gt;0,(H95/100)+1,(100/((-1)*H95))+1)))*(IF(I95="",1,IF(I95&gt;0,(I95/100)+1,(100/((-1)*I95))+1)))*(IF(J95="",1,IF(J95&gt;0,(J95/100)+1,(100/((-1)*J95))+1)))*(IF(K95="",1,IF(K95&gt;0,(K95/100)+1,(100/((-1)*K95))+1)))*(IF(L95="",1,IF(L95&gt;0,(L95/100)+1,(100/((-1)*L95))+1))))-1)),((((IF(C95="",1,IF(C95&gt;0,(C95/100)+1,(100/((-1)*C95))+1)))*(IF(D95="",1,IF(D95&gt;0,(D95/100)+1,(100/((-1)*D95))+1)))*(IF(E95="",1,IF(E95&gt;0,(E95/100)+1,(100/((-1)*E95))+1)))*(IF(F95="",1,IF(F95&gt;0,(F95/100)+1,(100/((-1)*F95))+1)))*(IF(G95="",1,IF(G95&gt;0,(G95/100)+1,(100/((-1)*G95))+1)))*(IF(H95="",1,IF(H95&gt;0,(H95/100)+1,(100/((-1)*H95))+1)))*(IF(I95="",1,IF(I95&gt;0,(I95/100)+1,(100/((-1)*I95))+1)))*(IF(J95="",1,IF(J95&gt;0,(J95/100)+1,(100/((-1)*J95))+1)))*(IF(K95="",1,IF(K95&gt;0,(K95/100)+1,(100/((-1)*K95))+1)))*(IF(L95="",1,IF(L95&gt;0,(L95/100)+1,(100/((-1)*L95))+1))))-1)*(100))))</f>
        <v>35107.20738</v>
      </c>
      <c r="P94" s="4"/>
      <c r="Q94" s="8" t="s">
        <v>35</v>
      </c>
    </row>
    <row r="95">
      <c r="A95" s="3" t="s">
        <v>13</v>
      </c>
      <c r="B95" s="2"/>
      <c r="C95" s="5">
        <v>119.0</v>
      </c>
      <c r="D95" s="5">
        <v>105.0</v>
      </c>
      <c r="E95" s="5">
        <v>-175.0</v>
      </c>
      <c r="F95" s="5">
        <v>-109.0</v>
      </c>
      <c r="G95" s="5">
        <v>-270.0</v>
      </c>
      <c r="H95" s="5">
        <v>-130.0</v>
      </c>
      <c r="I95" s="5">
        <v>110.0</v>
      </c>
      <c r="J95" s="5">
        <v>-159.0</v>
      </c>
      <c r="K95" s="5">
        <v>-112.0</v>
      </c>
      <c r="L95" s="5">
        <v>-152.0</v>
      </c>
      <c r="M95" s="2">
        <v>7.0</v>
      </c>
      <c r="N95" s="3" t="s">
        <v>36</v>
      </c>
      <c r="O95" s="10">
        <f>IF(AND(C95="",AND(D95="",AND(E95="",AND(F95="",AND(G95="",AND(H95="",AND(I95="",AND(J95="",AND(K95="",L95=""))))))))),"",10+IF((IF(((IF(C95="",1,IF(C95&gt;0,(C95/100)+1,(100/((-1)*C95))+1)))*(IF(D95="",1,IF(D95&gt;0,(D95/100)+1,(100/((-1)*D95))+1)))*(IF(E95="",1,IF(E95&gt;0,(E95/100)+1,(100/((-1)*E95))+1)))*(IF(F95="",1,IF(F95&gt;0,(F95/100)+1,(100/((-1)*F95))+1)))*(IF(G95="",1,IF(G95&gt;0,(G95/100)+1,(100/((-1)*G95))+1)))*(IF(H95="",1,IF(H95&gt;0,(H95/100)+1,(100/((-1)*H95))+1)))*(IF(I95="",1,IF(I95&gt;0,(I95/100)+1,(100/((-1)*I95))+1)))*(IF(J95="",1,IF(J95&gt;0,(J95/100)+1,(100/((-1)*J95))+1)))*(IF(K95="",1,IF(K95&gt;0,(K95/100)+1,(100/((-1)*K95))+1)))*(IF(L95="",1,IF(L95&gt;0,(L95/100)+1,(100/((-1)*L95))+1))))&lt;2,((-100)/(((IF(C95="",1,IF(C95&gt;0,(C95/100)+1,(100/((-1)*C95))+1)))*(IF(D95="",1,IF(D95&gt;0,(D95/100)+1,(100/((-1)*D95))+1)))*(IF(E95="",1,IF(E95&gt;0,(E95/100)+1,(100/((-1)*E95))+1)))*(IF(F95="",1,IF(F95&gt;0,(F95/100)+1,(100/((-1)*F95))+1)))*(IF(G95="",1,IF(G95&gt;0,(G95/100)+1,(100/((-1)*G95))+1)))*(IF(H95="",1,IF(H95&gt;0,(H95/100)+1,(100/((-1)*H95))+1)))*(IF(I95="",1,IF(I95&gt;0,(I95/100)+1,(100/((-1)*I95))+1)))*(IF(J95="",1,IF(J95&gt;0,(J95/100)+1,(100/((-1)*J95))+1)))*(IF(K95="",1,IF(K95&gt;0,(K95/100)+1,(100/((-1)*K95))+1)))*(IF(L95="",1,IF(L95&gt;0,(L95/100)+1,(100/((-1)*L95))+1))))-1)),((((IF(C95="",1,IF(C95&gt;0,(C95/100)+1,(100/((-1)*C95))+1)))*(IF(D95="",1,IF(D95&gt;0,(D95/100)+1,(100/((-1)*D95))+1)))*(IF(E95="",1,IF(E95&gt;0,(E95/100)+1,(100/((-1)*E95))+1)))*(IF(F95="",1,IF(F95&gt;0,(F95/100)+1,(100/((-1)*F95))+1)))*(IF(G95="",1,IF(G95&gt;0,(G95/100)+1,(100/((-1)*G95))+1)))*(IF(H95="",1,IF(H95&gt;0,(H95/100)+1,(100/((-1)*H95))+1)))*(IF(I95="",1,IF(I95&gt;0,(I95/100)+1,(100/((-1)*I95))+1)))*(IF(J95="",1,IF(J95&gt;0,(J95/100)+1,(100/((-1)*J95))+1)))*(IF(K95="",1,IF(K95&gt;0,(K95/100)+1,(100/((-1)*K95))+1)))*(IF(L95="",1,IF(L95&gt;0,(L95/100)+1,(100/((-1)*L95))+1))))-1)*(100))))&lt;0,(((-100)/((IF(((IF(C95="",1,IF(C95&gt;0,(C95/100)+1,(100/((-1)*C95))+1)))*(IF(D95="",1,IF(D95&gt;0,(D95/100)+1,(100/((-1)*D95))+1)))*(IF(E95="",1,IF(E95&gt;0,(E95/100)+1,(100/((-1)*E95))+1)))*(IF(F95="",1,IF(F95&gt;0,(F95/100)+1,(100/((-1)*F95))+1)))*(IF(G95="",1,IF(G95&gt;0,(G95/100)+1,(100/((-1)*G95))+1)))*(IF(H95="",1,IF(H95&gt;0,(H95/100)+1,(100/((-1)*H95))+1)))*(IF(I95="",1,IF(I95&gt;0,(I95/100)+1,(100/((-1)*I95))+1)))*(IF(J95="",1,IF(J95&gt;0,(J95/100)+1,(100/((-1)*J95))+1)))*(IF(K95="",1,IF(K95&gt;0,(K95/100)+1,(100/((-1)*K95))+1)))*(IF(L95="",1,IF(L95&gt;0,(L95/100)+1,(100/((-1)*L95))+1))))&lt;2,((-100)/(((IF(C95="",1,IF(C95&gt;0,(C95/100)+1,(100/((-1)*C95))+1)))*(IF(D95="",1,IF(D95&gt;0,(D95/100)+1,(100/((-1)*D95))+1)))*(IF(E95="",1,IF(E95&gt;0,(E95/100)+1,(100/((-1)*E95))+1)))*(IF(F95="",1,IF(F95&gt;0,(F95/100)+1,(100/((-1)*F95))+1)))*(IF(G95="",1,IF(G95&gt;0,(G95/100)+1,(100/((-1)*G95))+1)))*(IF(H95="",1,IF(H95&gt;0,(H95/100)+1,(100/((-1)*H95))+1)))*(IF(I95="",1,IF(I95&gt;0,(I95/100)+1,(100/((-1)*I95))+1)))*(IF(J95="",1,IF(J95&gt;0,(J95/100)+1,(100/((-1)*J95))+1)))*(IF(K95="",1,IF(K95&gt;0,(K95/100)+1,(100/((-1)*K95))+1)))*(IF(L95="",1,IF(L95&gt;0,(L95/100)+1,(100/((-1)*L95))+1))))-1)),((((IF(C95="",1,IF(C95&gt;0,(C95/100)+1,(100/((-1)*C95))+1)))*(IF(D95="",1,IF(D95&gt;0,(D95/100)+1,(100/((-1)*D95))+1)))*(IF(E95="",1,IF(E95&gt;0,(E95/100)+1,(100/((-1)*E95))+1)))*(IF(F95="",1,IF(F95&gt;0,(F95/100)+1,(100/((-1)*F95))+1)))*(IF(G95="",1,IF(G95&gt;0,(G95/100)+1,(100/((-1)*G95))+1)))*(IF(H95="",1,IF(H95&gt;0,(H95/100)+1,(100/((-1)*H95))+1)))*(IF(I95="",1,IF(I95&gt;0,(I95/100)+1,(100/((-1)*I95))+1)))*(IF(J95="",1,IF(J95&gt;0,(J95/100)+1,(100/((-1)*J95))+1)))*(IF(K95="",1,IF(K95&gt;0,(K95/100)+1,(100/((-1)*K95))+1)))*(IF(L95="",1,IF(L95&gt;0,(L95/100)+1,(100/((-1)*L95))+1))))-1)*(100))))))*10),(((IF(((IF(C95="",1,IF(C95&gt;0,(C95/100)+1,(100/((-1)*C95))+1)))*(IF(D95="",1,IF(D95&gt;0,(D95/100)+1,(100/((-1)*D95))+1)))*(IF(E95="",1,IF(E95&gt;0,(E95/100)+1,(100/((-1)*E95))+1)))*(IF(F95="",1,IF(F95&gt;0,(F95/100)+1,(100/((-1)*F95))+1)))*(IF(G95="",1,IF(G95&gt;0,(G95/100)+1,(100/((-1)*G95))+1)))*(IF(H95="",1,IF(H95&gt;0,(H95/100)+1,(100/((-1)*H95))+1)))*(IF(I95="",1,IF(I95&gt;0,(I95/100)+1,(100/((-1)*I95))+1)))*(IF(J95="",1,IF(J95&gt;0,(J95/100)+1,(100/((-1)*J95))+1)))*(IF(K95="",1,IF(K95&gt;0,(K95/100)+1,(100/((-1)*K95))+1)))*(IF(L95="",1,IF(L95&gt;0,(L95/100)+1,(100/((-1)*L95))+1))))&lt;2,((-100)/(((IF(C95="",1,IF(C95&gt;0,(C95/100)+1,(100/((-1)*C95))+1)))*(IF(D95="",1,IF(D95&gt;0,(D95/100)+1,(100/((-1)*D95))+1)))*(IF(E95="",1,IF(E95&gt;0,(E95/100)+1,(100/((-1)*E95))+1)))*(IF(F95="",1,IF(F95&gt;0,(F95/100)+1,(100/((-1)*F95))+1)))*(IF(G95="",1,IF(G95&gt;0,(G95/100)+1,(100/((-1)*G95))+1)))*(IF(H95="",1,IF(H95&gt;0,(H95/100)+1,(100/((-1)*H95))+1)))*(IF(I95="",1,IF(I95&gt;0,(I95/100)+1,(100/((-1)*I95))+1)))*(IF(J95="",1,IF(J95&gt;0,(J95/100)+1,(100/((-1)*J95))+1)))*(IF(K95="",1,IF(K95&gt;0,(K95/100)+1,(100/((-1)*K95))+1)))*(IF(L95="",1,IF(L95&gt;0,(L95/100)+1,(100/((-1)*L95))+1))))-1)),((((IF(C95="",1,IF(C95&gt;0,(C95/100)+1,(100/((-1)*C95))+1)))*(IF(D95="",1,IF(D95&gt;0,(D95/100)+1,(100/((-1)*D95))+1)))*(IF(E95="",1,IF(E95&gt;0,(E95/100)+1,(100/((-1)*E95))+1)))*(IF(F95="",1,IF(F95&gt;0,(F95/100)+1,(100/((-1)*F95))+1)))*(IF(G95="",1,IF(G95&gt;0,(G95/100)+1,(100/((-1)*G95))+1)))*(IF(H95="",1,IF(H95&gt;0,(H95/100)+1,(100/((-1)*H95))+1)))*(IF(I95="",1,IF(I95&gt;0,(I95/100)+1,(100/((-1)*I95))+1)))*(IF(J95="",1,IF(J95&gt;0,(J95/100)+1,(100/((-1)*J95))+1)))*(IF(K95="",1,IF(K95&gt;0,(K95/100)+1,(100/((-1)*K95))+1)))*(IF(L95="",1,IF(L95&gt;0,(L95/100)+1,(100/((-1)*L95))+1))))-1)*(100))))/100)*10)))</f>
        <v>3520.720738</v>
      </c>
      <c r="P95" s="4"/>
      <c r="Q95" s="4"/>
    </row>
    <row r="96">
      <c r="A96" s="3" t="s">
        <v>37</v>
      </c>
      <c r="B96" s="2"/>
      <c r="C96" s="5" t="s">
        <v>432</v>
      </c>
      <c r="D96" s="5" t="s">
        <v>433</v>
      </c>
      <c r="E96" s="5" t="s">
        <v>434</v>
      </c>
      <c r="F96" s="5" t="s">
        <v>66</v>
      </c>
      <c r="G96" s="5" t="s">
        <v>435</v>
      </c>
      <c r="H96" s="5" t="s">
        <v>436</v>
      </c>
      <c r="I96" s="5" t="s">
        <v>437</v>
      </c>
      <c r="J96" s="5" t="s">
        <v>438</v>
      </c>
      <c r="K96" s="5" t="s">
        <v>439</v>
      </c>
      <c r="L96" s="5" t="s">
        <v>440</v>
      </c>
      <c r="M96" s="2"/>
      <c r="N96" s="4"/>
      <c r="O96" s="4"/>
      <c r="P96" s="4"/>
      <c r="Q96" s="4"/>
    </row>
    <row r="97">
      <c r="A97" s="3" t="s">
        <v>48</v>
      </c>
      <c r="B97" s="2"/>
      <c r="C97" s="5" t="s">
        <v>441</v>
      </c>
      <c r="D97" s="5" t="s">
        <v>442</v>
      </c>
      <c r="E97" s="5" t="s">
        <v>443</v>
      </c>
      <c r="F97" s="5" t="s">
        <v>444</v>
      </c>
      <c r="G97" s="5" t="s">
        <v>410</v>
      </c>
      <c r="H97" s="5" t="s">
        <v>445</v>
      </c>
      <c r="I97" s="5" t="s">
        <v>446</v>
      </c>
      <c r="J97" s="5" t="s">
        <v>447</v>
      </c>
      <c r="K97" s="5" t="s">
        <v>448</v>
      </c>
      <c r="L97" s="5" t="s">
        <v>395</v>
      </c>
      <c r="M97" s="2"/>
      <c r="N97" s="4"/>
      <c r="O97" s="3" t="s">
        <v>56</v>
      </c>
      <c r="P97" s="3" t="s">
        <v>57</v>
      </c>
      <c r="Q97" s="4"/>
    </row>
    <row r="98">
      <c r="A98" s="3" t="s">
        <v>59</v>
      </c>
      <c r="B98" s="2"/>
      <c r="C98" s="5" t="s">
        <v>62</v>
      </c>
      <c r="D98" s="5" t="s">
        <v>60</v>
      </c>
      <c r="E98" s="5" t="s">
        <v>60</v>
      </c>
      <c r="F98" s="5" t="s">
        <v>60</v>
      </c>
      <c r="G98" s="5" t="s">
        <v>60</v>
      </c>
      <c r="H98" s="5" t="s">
        <v>60</v>
      </c>
      <c r="I98" s="5" t="s">
        <v>62</v>
      </c>
      <c r="J98" s="5" t="s">
        <v>62</v>
      </c>
      <c r="K98" s="5" t="s">
        <v>62</v>
      </c>
      <c r="L98" s="5" t="s">
        <v>60</v>
      </c>
      <c r="M98" s="2"/>
      <c r="N98" s="3" t="s">
        <v>65</v>
      </c>
      <c r="O98" s="12" t="str">
        <f>IFERROR(__xludf.DUMMYFUNCTION("IF(OR(COUNTA(C95:L95) = 0, COUNTA(C98:L98) = 0), """", IFERROR(TEXTJOIN("", "", TRUE, FILTER(C92:L92, (C98:L98 = ""W"") * (C95:L95 = MAX(FILTER(C95:L95, C98:L98 = ""W""))))), """"))"),"Carson")</f>
        <v>Carson</v>
      </c>
      <c r="P98" s="12" t="str">
        <f>IFERROR(__xludf.DUMMYFUNCTION("IF(COUNTA(C103:L103) = 0, """", IFERROR(TEXTJOIN("", "", TRUE, FILTER(C92:L92, C103:L103 = MAX(C103:L103))), """"))"),"Hunter")</f>
        <v>Hunter</v>
      </c>
      <c r="Q98" s="4"/>
    </row>
    <row r="99">
      <c r="A99" s="1" t="s">
        <v>81</v>
      </c>
      <c r="B99" s="2"/>
      <c r="C99" s="4">
        <f t="shared" ref="C99:L99" si="29">IF(OR(C95="",C98=""),"",C86+COUNTIF(C98,"W"))</f>
        <v>6</v>
      </c>
      <c r="D99" s="4">
        <f t="shared" si="29"/>
        <v>6</v>
      </c>
      <c r="E99" s="4">
        <f t="shared" si="29"/>
        <v>4</v>
      </c>
      <c r="F99" s="4">
        <f t="shared" si="29"/>
        <v>3</v>
      </c>
      <c r="G99" s="4">
        <f t="shared" si="29"/>
        <v>6</v>
      </c>
      <c r="H99" s="4">
        <f t="shared" si="29"/>
        <v>4</v>
      </c>
      <c r="I99" s="4">
        <f t="shared" si="29"/>
        <v>3</v>
      </c>
      <c r="J99" s="4">
        <f t="shared" si="29"/>
        <v>4</v>
      </c>
      <c r="K99" s="4">
        <f t="shared" si="29"/>
        <v>5</v>
      </c>
      <c r="L99" s="4">
        <f t="shared" si="29"/>
        <v>4</v>
      </c>
      <c r="M99" s="2"/>
      <c r="N99" s="3" t="s">
        <v>82</v>
      </c>
      <c r="O99" s="4" t="str">
        <f>IFERROR(__xludf.DUMMYFUNCTION("IF(OR(COUNTA(C95:L95) = 0, COUNTA(C98:L98) = 0), """", IFERROR(TEXTJOIN("", "", TRUE, FILTER(C92:L92, (C98:L98 = ""L"") * (C95:L95 = MIN(FILTER(C95:L95, C98:L98 = ""L""))))), """"))"),"Tanner")</f>
        <v>Tanner</v>
      </c>
      <c r="P99" s="12" t="str">
        <f>IFERROR(__xludf.DUMMYFUNCTION("IF(COUNTA(C103:L103) = 0, """", IFERROR(TEXTJOIN("", "", TRUE, FILTER(C92:L92, C103:L103 = MIN(C103:L103))), """"))"),"Nick")</f>
        <v>Nick</v>
      </c>
      <c r="Q99" s="4"/>
    </row>
    <row r="100">
      <c r="A100" s="1" t="s">
        <v>83</v>
      </c>
      <c r="B100" s="2"/>
      <c r="C100" s="27">
        <f t="shared" ref="C100:L100" si="30">IF(OR(C95="",C98=""),"",C87+COUNTIF(C98,"L"))</f>
        <v>2</v>
      </c>
      <c r="D100" s="27">
        <f t="shared" si="30"/>
        <v>2</v>
      </c>
      <c r="E100" s="27">
        <f t="shared" si="30"/>
        <v>4</v>
      </c>
      <c r="F100" s="27">
        <f t="shared" si="30"/>
        <v>5</v>
      </c>
      <c r="G100" s="27">
        <f t="shared" si="30"/>
        <v>2</v>
      </c>
      <c r="H100" s="27">
        <f t="shared" si="30"/>
        <v>4</v>
      </c>
      <c r="I100" s="27">
        <f t="shared" si="30"/>
        <v>5</v>
      </c>
      <c r="J100" s="27">
        <f t="shared" si="30"/>
        <v>4</v>
      </c>
      <c r="K100" s="27">
        <f t="shared" si="30"/>
        <v>3</v>
      </c>
      <c r="L100" s="27">
        <f t="shared" si="30"/>
        <v>4</v>
      </c>
      <c r="M100" s="2"/>
      <c r="N100" s="3" t="s">
        <v>84</v>
      </c>
      <c r="O100" s="12" t="str">
        <f>IFERROR(__xludf.DUMMYFUNCTION("IF(COUNTA(C95:L95) = 0, """", IFERROR(TEXTJOIN("", "", TRUE, FILTER(C92:L92, C95:L95 = MAX(C95:L95))), """"))"),"Austin")</f>
        <v>Austin</v>
      </c>
      <c r="P100" s="4" t="str">
        <f>IFERROR(__xludf.DUMMYFUNCTION("IF(COUNTA(C95:L95) = 0, """", IFERROR(TEXTJOIN("", "", TRUE, FILTER(C92:L92, C102:L102 = MAX(C102:L102))), """"))"),"Jake")</f>
        <v>Jake</v>
      </c>
      <c r="Q100" s="4"/>
    </row>
    <row r="101">
      <c r="A101" s="3" t="s">
        <v>85</v>
      </c>
      <c r="B101" s="2"/>
      <c r="C101" s="24">
        <f t="shared" ref="C101:L101" si="31">IF(OR(C95="",C98=""),"",(C99/(C99+C100)))</f>
        <v>0.75</v>
      </c>
      <c r="D101" s="24">
        <f t="shared" si="31"/>
        <v>0.75</v>
      </c>
      <c r="E101" s="24">
        <f t="shared" si="31"/>
        <v>0.5</v>
      </c>
      <c r="F101" s="24">
        <f t="shared" si="31"/>
        <v>0.375</v>
      </c>
      <c r="G101" s="24">
        <f t="shared" si="31"/>
        <v>0.75</v>
      </c>
      <c r="H101" s="24">
        <f t="shared" si="31"/>
        <v>0.5</v>
      </c>
      <c r="I101" s="24">
        <f t="shared" si="31"/>
        <v>0.375</v>
      </c>
      <c r="J101" s="24">
        <f t="shared" si="31"/>
        <v>0.5</v>
      </c>
      <c r="K101" s="24">
        <f t="shared" si="31"/>
        <v>0.625</v>
      </c>
      <c r="L101" s="24">
        <f t="shared" si="31"/>
        <v>0.5</v>
      </c>
      <c r="M101" s="14"/>
      <c r="N101" s="3" t="s">
        <v>86</v>
      </c>
      <c r="O101" s="4" t="str">
        <f>IFERROR(__xludf.DUMMYFUNCTION("IF(COUNTA(C95:L95) = 0, """", IFERROR(TEXTJOIN("", "", TRUE, FILTER(C92:L92, C95:L95 = MIN(C95:L95))), """"))"),"Hunter")</f>
        <v>Hunter</v>
      </c>
      <c r="P101" s="4" t="str">
        <f>IFERROR(__xludf.DUMMYFUNCTION("IF(COUNTA(C95:L95) = 0, """", IFERROR(TEXTJOIN("", "", TRUE, FILTER(C92:L92, C102:L102 = MIN(C102:L102))), """"))"),"Tanner")</f>
        <v>Tanner</v>
      </c>
      <c r="Q101" s="4"/>
    </row>
    <row r="102">
      <c r="A102" s="3" t="s">
        <v>87</v>
      </c>
      <c r="B102" s="2"/>
      <c r="C102" s="25">
        <f t="shared" ref="C102:L102" si="32">IF(C95="","",IF(((IF(C95 &lt;0,((-100/C95)+1),((C95/100)+1))+(IF(C89&lt;0,((-100/C89)+1),((C89/100)+1)))*(C86+C87))/(C86+C87+1))&lt;2,(-100/(((IF(C95 &lt;0,((-100/C95)+1),((C95/100)+1))+(IF(C89&lt;0,((-100/C89)+1),((C89/100)+1)))*(C86+C87))/(C86+C87+1))-1)),(((IF(C95 &lt;0,((-100/C95)+1),((C95/100)+1))+(IF(C89&lt;0,((-100/C89)+1),((C89/100)+1)))*(C86+C87))/(C86+C87+1))-1)*100))</f>
        <v>-122.5815224</v>
      </c>
      <c r="D102" s="25">
        <f t="shared" si="32"/>
        <v>-127.6935937</v>
      </c>
      <c r="E102" s="25">
        <f t="shared" si="32"/>
        <v>-133.5472009</v>
      </c>
      <c r="F102" s="25">
        <f t="shared" si="32"/>
        <v>-116.5951566</v>
      </c>
      <c r="G102" s="25">
        <f t="shared" si="32"/>
        <v>-116.2502367</v>
      </c>
      <c r="H102" s="25">
        <f t="shared" si="32"/>
        <v>106.3891941</v>
      </c>
      <c r="I102" s="25">
        <f t="shared" si="32"/>
        <v>-126.9809248</v>
      </c>
      <c r="J102" s="25">
        <f t="shared" si="32"/>
        <v>-136.0915577</v>
      </c>
      <c r="K102" s="25">
        <f t="shared" si="32"/>
        <v>-120.6233541</v>
      </c>
      <c r="L102" s="25">
        <f t="shared" si="32"/>
        <v>-114.4916043</v>
      </c>
      <c r="M102" s="14"/>
      <c r="N102" s="4"/>
      <c r="O102" s="12"/>
      <c r="P102" s="12"/>
      <c r="Q102" s="4"/>
    </row>
    <row r="103">
      <c r="A103" s="16" t="s">
        <v>88</v>
      </c>
      <c r="B103" s="2"/>
      <c r="C103" s="26">
        <f>IFERROR(__xludf.DUMMYFUNCTION("IF(OR(C95="""",C98=""""),"""",IF(REGEXMATCH(C98,""W""),IF(C95&lt;0,((-100/C95))*10+C90,((C95/100)*10+C90)),-10+C90))"),26.466139142405282)</f>
        <v>26.46613914</v>
      </c>
      <c r="D103" s="26">
        <f>IFERROR(__xludf.DUMMYFUNCTION("IF(OR(D95="""",D98=""""),"""",IF(REGEXMATCH(D98,""W""),IF(D95&lt;0,((-100/D95))*10+D90,((D95/100)*10+D90)),-10+D90))"),25.860663288807)</f>
        <v>25.86066329</v>
      </c>
      <c r="E103" s="26">
        <f>IFERROR(__xludf.DUMMYFUNCTION("IF(OR(E95="""",E98=""""),"""",IF(REGEXMATCH(E98,""W""),IF(E95&lt;0,((-100/E95))*10+E90,((E95/100)*10+E90)),-10+E90))"),-11.95210247841827)</f>
        <v>-11.95210248</v>
      </c>
      <c r="F103" s="26">
        <f>IFERROR(__xludf.DUMMYFUNCTION("IF(OR(F95="""",F98=""""),"""",IF(REGEXMATCH(F98,""W""),IF(F95&lt;0,((-100/F95))*10+F90,((F95/100)*10+F90)),-10+F90))"),-20.63003589948145)</f>
        <v>-20.6300359</v>
      </c>
      <c r="G103" s="26">
        <f>IFERROR(__xludf.DUMMYFUNCTION("IF(OR(G95="""",G98=""""),"""",IF(REGEXMATCH(G98,""W""),IF(G95&lt;0,((-100/G95))*10+G90,((G95/100)*10+G90)),-10+G90))"),28.808055147251416)</f>
        <v>28.80805515</v>
      </c>
      <c r="H103" s="26">
        <f>IFERROR(__xludf.DUMMYFUNCTION("IF(OR(H95="""",H98=""""),"""",IF(REGEXMATCH(H98,""W""),IF(H95&lt;0,((-100/H95))*10+H90,((H95/100)*10+H90)),-10+H90))"),3.954212454212457)</f>
        <v>3.954212454</v>
      </c>
      <c r="I103" s="26">
        <f>IFERROR(__xludf.DUMMYFUNCTION("IF(OR(I95="""",I98=""""),"""",IF(REGEXMATCH(I98,""W""),IF(I95&lt;0,((-100/I95))*10+I90,((I95/100)*10+I90)),-10+I90))"),-31.096512183468704)</f>
        <v>-31.09651218</v>
      </c>
      <c r="J103" s="26">
        <f>IFERROR(__xludf.DUMMYFUNCTION("IF(OR(J95="""",J98=""""),"""",IF(REGEXMATCH(J98,""W""),IF(J95&lt;0,((-100/J95))*10+J90,((J95/100)*10+J90)),-10+J90))"),-14.536807971565004)</f>
        <v>-14.53680797</v>
      </c>
      <c r="K103" s="26">
        <f>IFERROR(__xludf.DUMMYFUNCTION("IF(OR(K95="""",K98=""""),"""",IF(REGEXMATCH(K98,""W""),IF(K95&lt;0,((-100/K95))*10+K90,((K95/100)*10+K90)),-10+K90))"),12.36694402860752)</f>
        <v>12.36694403</v>
      </c>
      <c r="L103" s="26">
        <f>IFERROR(__xludf.DUMMYFUNCTION("IF(OR(L95="""",L98=""""),"""",IF(REGEXMATCH(L98,""W""),IF(L95&lt;0,((-100/L95))*10+L90,((L95/100)*10+L90)),-10+L90))"),-2.9428191363459923)</f>
        <v>-2.942819136</v>
      </c>
      <c r="M103" s="14"/>
      <c r="N103" s="16" t="s">
        <v>89</v>
      </c>
      <c r="O103" s="10">
        <f>IFERROR(__xludf.DUMMYFUNCTION("IF(AND(C103="""",AND(D103="""",AND(E103="""",AND(F103="""",AND(G103="""",AND(H103="""",AND(I103="""",AND(J103="""",AND(K103="""",L103=""""))))))))),"""",(IF(C98="""",0,IF(REGEXMATCH(C98,""W""),IF(C95&lt;0,((-100/C95))*10,((C95/100)*10)),-10))+IF(D98="""",0,I"&amp;"F(REGEXMATCH(D98,""W""),IF(D95&lt;0,((-100/D95))*10,((D95/100)*10)),-10))+IF(E98="""",0,IF(REGEXMATCH(E98,""W""),IF(E95&lt;0,((-100/E95))*10,((E95/100)*10)),-10))+IF(F98="""",0,IF(REGEXMATCH(F98,""W""),IF(F95&lt;0,((-100/F95))*10,((F95/100)*10)),-10))+IF(G98="""","&amp;"0,IF(REGEXMATCH(G98,""W""),IF(G95&lt;0,((-100/G95))*10,((G95/100)*10)),-10))+IF(H98="""",0,IF(REGEXMATCH(H98,""W""),IF(H95&lt;0,((-100/H95))*10,((H95/100)*10)),-10))+IF(I98="""",0,IF(REGEXMATCH(I98,""W""),IF(I95&lt;0,((-100/I95))*10,((I95/100)*10)),-10))+IF(J98="""&amp;""",0,IF(REGEXMATCH(J98,""W""),IF(J95&lt;0,((-100/J95))*10,((J95/100)*10)),-10))+IF(K98="""",0,IF(REGEXMATCH(K98,""W""),IF(K95&lt;0,((-100/K95))*10,((K95/100)*10)),-10))+IF(L98="""",0,IF(REGEXMATCH(L98,""W""),IF(L95&lt;0,((-100/L95))*10,((L95/100)*10)),-10))))"),3.363556405323669)</f>
        <v>3.363556405</v>
      </c>
      <c r="P103" s="10">
        <f>IFERROR(__xludf.DUMMYFUNCTION("IF(AND(C103="""",AND(D103="""",AND(E103="""",AND(F103="""",AND(G103="""",AND(H103="""",AND(I103="""",AND(J103="""",AND(K103="""",L103=""""))))))))),"""",(P90+IF(C98="""",0,IF(REGEXMATCH(C98,""W""),IF(C95&lt;0,((-100/C95))*10,((C95/100)*10)),-10))+IF(D98="""""&amp;",0,IF(REGEXMATCH(D98,""W""),IF(D95&lt;0,((-100/D95))*10,((D95/100)*10)),-10))+IF(E98="""",0,IF(REGEXMATCH(E98,""W""),IF(E95&lt;0,((-100/E95))*10,((E95/100)*10)),-10))+IF(F98="""",0,IF(REGEXMATCH(F98,""W""),IF(F95&lt;0,((-100/F95))*10,((F95/100)*10)),-10))+IF(G98="&amp;""""",0,IF(REGEXMATCH(G98,""W""),IF(G95&lt;0,((-100/G95))*10,((G95/100)*10)),-10))+IF(H98="""",0,IF(REGEXMATCH(H98,""W""),IF(H95&lt;0,((-100/H95))*10,((H95/100)*10)),-10))+IF(I98="""",0,IF(REGEXMATCH(I98,""W""),IF(I95&lt;0,((-100/I95))*10,((I95/100)*10)),-10))+IF(J"&amp;"98="""",0,IF(REGEXMATCH(J98,""W""),IF(J95&lt;0,((-100/J95))*10,((J95/100)*10)),-10))+IF(K98="""",0,IF(REGEXMATCH(K98,""W""),IF(K95&lt;0,((-100/K95))*10,((K95/100)*10)),-10))+IF(L98="""",0,IF(REGEXMATCH(L98,""W""),IF(L95&lt;0,((-100/L95))*10,((L95/100)*10)),-10))))"),16.29773639200426)</f>
        <v>16.29773639</v>
      </c>
      <c r="Q103" s="4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</row>
    <row r="105">
      <c r="A105" s="1" t="s">
        <v>216</v>
      </c>
      <c r="B105" s="2"/>
      <c r="C105" s="3" t="s">
        <v>1</v>
      </c>
      <c r="D105" s="3" t="s">
        <v>2</v>
      </c>
      <c r="E105" s="3" t="s">
        <v>3</v>
      </c>
      <c r="F105" s="3" t="s">
        <v>4</v>
      </c>
      <c r="G105" s="3" t="s">
        <v>5</v>
      </c>
      <c r="H105" s="3" t="s">
        <v>6</v>
      </c>
      <c r="I105" s="3" t="s">
        <v>7</v>
      </c>
      <c r="J105" s="3" t="s">
        <v>8</v>
      </c>
      <c r="K105" s="3" t="s">
        <v>9</v>
      </c>
      <c r="L105" s="3" t="s">
        <v>10</v>
      </c>
      <c r="M105" s="2"/>
      <c r="N105" s="4"/>
      <c r="O105" s="3" t="s">
        <v>11</v>
      </c>
      <c r="P105" s="4"/>
      <c r="Q105" s="4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</row>
    <row r="107">
      <c r="A107" s="3" t="s">
        <v>12</v>
      </c>
      <c r="B107" s="2"/>
      <c r="C107" s="5" t="s">
        <v>460</v>
      </c>
      <c r="D107" s="5" t="s">
        <v>461</v>
      </c>
      <c r="E107" s="19" t="s">
        <v>462</v>
      </c>
      <c r="F107" s="5" t="s">
        <v>463</v>
      </c>
      <c r="G107" s="5" t="s">
        <v>464</v>
      </c>
      <c r="H107" s="5" t="s">
        <v>465</v>
      </c>
      <c r="I107" s="5" t="s">
        <v>466</v>
      </c>
      <c r="J107" s="5" t="s">
        <v>358</v>
      </c>
      <c r="K107" s="5" t="s">
        <v>467</v>
      </c>
      <c r="L107" s="5" t="s">
        <v>361</v>
      </c>
      <c r="M107" s="2"/>
      <c r="N107" s="3" t="s">
        <v>13</v>
      </c>
      <c r="O107" s="7">
        <f>IF(AND(C108="",AND(D108="",AND(E108="",AND(F108="",AND(G108="",AND(H108="",AND(I108="",AND(J108="",AND(K108="",L108=""))))))))),"",IF(((IF(C108="",1,IF(C108&gt;0,(C108/100)+1,(100/((-1)*C108))+1)))*(IF(D108="",1,IF(D108&gt;0,(D108/100)+1,(100/((-1)*D108))+1)))*(IF(E108="",1,IF(E108&gt;0,(E108/100)+1,(100/((-1)*E108))+1)))*(IF(F108="",1,IF(F108&gt;0,(F108/100)+1,(100/((-1)*F108))+1)))*(IF(G108="",1,IF(G108&gt;0,(G108/100)+1,(100/((-1)*G108))+1)))*(IF(H108="",1,IF(H108&gt;0,(H108/100)+1,(100/((-1)*H108))+1)))*(IF(I108="",1,IF(I108&gt;0,(I108/100)+1,(100/((-1)*I108))+1)))*(IF(J108="",1,IF(J108&gt;0,(J108/100)+1,(100/((-1)*J108))+1)))*(IF(K108="",1,IF(K108&gt;0,(K108/100)+1,(100/((-1)*K108))+1)))*(IF(L108="",1,IF(L108&gt;0,(L108/100)+1,(100/((-1)*L108))+1))))&lt;2,((-100)/(((IF(C108="",1,IF(C108&gt;0,(C108/100)+1,(100/((-1)*C108))+1)))*(IF(D108="",1,IF(D108&gt;0,(D108/100)+1,(100/((-1)*D108))+1)))*(IF(E108="",1,IF(E108&gt;0,(E108/100)+1,(100/((-1)*E108))+1)))*(IF(F108="",1,IF(F108&gt;0,(F108/100)+1,(100/((-1)*F108))+1)))*(IF(G108="",1,IF(G108&gt;0,(G108/100)+1,(100/((-1)*G108))+1)))*(IF(H108="",1,IF(H108&gt;0,(H108/100)+1,(100/((-1)*H108))+1)))*(IF(I108="",1,IF(I108&gt;0,(I108/100)+1,(100/((-1)*I108))+1)))*(IF(J108="",1,IF(J108&gt;0,(J108/100)+1,(100/((-1)*J108))+1)))*(IF(K108="",1,IF(K108&gt;0,(K108/100)+1,(100/((-1)*K108))+1)))*(IF(L108="",1,IF(L108&gt;0,(L108/100)+1,(100/((-1)*L108))+1))))-1)),((((IF(C108="",1,IF(C108&gt;0,(C108/100)+1,(100/((-1)*C108))+1)))*(IF(D108="",1,IF(D108&gt;0,(D108/100)+1,(100/((-1)*D108))+1)))*(IF(E108="",1,IF(E108&gt;0,(E108/100)+1,(100/((-1)*E108))+1)))*(IF(F108="",1,IF(F108&gt;0,(F108/100)+1,(100/((-1)*F108))+1)))*(IF(G108="",1,IF(G108&gt;0,(G108/100)+1,(100/((-1)*G108))+1)))*(IF(H108="",1,IF(H108&gt;0,(H108/100)+1,(100/((-1)*H108))+1)))*(IF(I108="",1,IF(I108&gt;0,(I108/100)+1,(100/((-1)*I108))+1)))*(IF(J108="",1,IF(J108&gt;0,(J108/100)+1,(100/((-1)*J108))+1)))*(IF(K108="",1,IF(K108&gt;0,(K108/100)+1,(100/((-1)*K108))+1)))*(IF(L108="",1,IF(L108&gt;0,(L108/100)+1,(100/((-1)*L108))+1))))-1)*(100))))</f>
        <v>27034.24397</v>
      </c>
      <c r="P107" s="4"/>
      <c r="Q107" s="8" t="s">
        <v>35</v>
      </c>
    </row>
    <row r="108">
      <c r="A108" s="3" t="s">
        <v>13</v>
      </c>
      <c r="B108" s="2"/>
      <c r="C108" s="5">
        <v>-159.0</v>
      </c>
      <c r="D108" s="5">
        <v>-139.0</v>
      </c>
      <c r="E108" s="5">
        <v>-128.0</v>
      </c>
      <c r="F108" s="5">
        <v>-118.0</v>
      </c>
      <c r="G108" s="5">
        <v>-114.0</v>
      </c>
      <c r="H108" s="5">
        <v>-120.0</v>
      </c>
      <c r="I108" s="5">
        <v>-120.0</v>
      </c>
      <c r="J108" s="5">
        <v>-192.0</v>
      </c>
      <c r="K108" s="5">
        <v>-105.0</v>
      </c>
      <c r="L108" s="5">
        <v>-175.0</v>
      </c>
      <c r="M108" s="2">
        <v>8.0</v>
      </c>
      <c r="N108" s="3" t="s">
        <v>36</v>
      </c>
      <c r="O108" s="10">
        <f>IF(AND(C108="",AND(D108="",AND(E108="",AND(F108="",AND(G108="",AND(H108="",AND(I108="",AND(J108="",AND(K108="",L108=""))))))))),"",10+IF((IF(((IF(C108="",1,IF(C108&gt;0,(C108/100)+1,(100/((-1)*C108))+1)))*(IF(D108="",1,IF(D108&gt;0,(D108/100)+1,(100/((-1)*D108))+1)))*(IF(E108="",1,IF(E108&gt;0,(E108/100)+1,(100/((-1)*E108))+1)))*(IF(F108="",1,IF(F108&gt;0,(F108/100)+1,(100/((-1)*F108))+1)))*(IF(G108="",1,IF(G108&gt;0,(G108/100)+1,(100/((-1)*G108))+1)))*(IF(H108="",1,IF(H108&gt;0,(H108/100)+1,(100/((-1)*H108))+1)))*(IF(I108="",1,IF(I108&gt;0,(I108/100)+1,(100/((-1)*I108))+1)))*(IF(J108="",1,IF(J108&gt;0,(J108/100)+1,(100/((-1)*J108))+1)))*(IF(K108="",1,IF(K108&gt;0,(K108/100)+1,(100/((-1)*K108))+1)))*(IF(L108="",1,IF(L108&gt;0,(L108/100)+1,(100/((-1)*L108))+1))))&lt;2,((-100)/(((IF(C108="",1,IF(C108&gt;0,(C108/100)+1,(100/((-1)*C108))+1)))*(IF(D108="",1,IF(D108&gt;0,(D108/100)+1,(100/((-1)*D108))+1)))*(IF(E108="",1,IF(E108&gt;0,(E108/100)+1,(100/((-1)*E108))+1)))*(IF(F108="",1,IF(F108&gt;0,(F108/100)+1,(100/((-1)*F108))+1)))*(IF(G108="",1,IF(G108&gt;0,(G108/100)+1,(100/((-1)*G108))+1)))*(IF(H108="",1,IF(H108&gt;0,(H108/100)+1,(100/((-1)*H108))+1)))*(IF(I108="",1,IF(I108&gt;0,(I108/100)+1,(100/((-1)*I108))+1)))*(IF(J108="",1,IF(J108&gt;0,(J108/100)+1,(100/((-1)*J108))+1)))*(IF(K108="",1,IF(K108&gt;0,(K108/100)+1,(100/((-1)*K108))+1)))*(IF(L108="",1,IF(L108&gt;0,(L108/100)+1,(100/((-1)*L108))+1))))-1)),((((IF(C108="",1,IF(C108&gt;0,(C108/100)+1,(100/((-1)*C108))+1)))*(IF(D108="",1,IF(D108&gt;0,(D108/100)+1,(100/((-1)*D108))+1)))*(IF(E108="",1,IF(E108&gt;0,(E108/100)+1,(100/((-1)*E108))+1)))*(IF(F108="",1,IF(F108&gt;0,(F108/100)+1,(100/((-1)*F108))+1)))*(IF(G108="",1,IF(G108&gt;0,(G108/100)+1,(100/((-1)*G108))+1)))*(IF(H108="",1,IF(H108&gt;0,(H108/100)+1,(100/((-1)*H108))+1)))*(IF(I108="",1,IF(I108&gt;0,(I108/100)+1,(100/((-1)*I108))+1)))*(IF(J108="",1,IF(J108&gt;0,(J108/100)+1,(100/((-1)*J108))+1)))*(IF(K108="",1,IF(K108&gt;0,(K108/100)+1,(100/((-1)*K108))+1)))*(IF(L108="",1,IF(L108&gt;0,(L108/100)+1,(100/((-1)*L108))+1))))-1)*(100))))&lt;0,(((-100)/((IF(((IF(C108="",1,IF(C108&gt;0,(C108/100)+1,(100/((-1)*C108))+1)))*(IF(D108="",1,IF(D108&gt;0,(D108/100)+1,(100/((-1)*D108))+1)))*(IF(E108="",1,IF(E108&gt;0,(E108/100)+1,(100/((-1)*E108))+1)))*(IF(F108="",1,IF(F108&gt;0,(F108/100)+1,(100/((-1)*F108))+1)))*(IF(G108="",1,IF(G108&gt;0,(G108/100)+1,(100/((-1)*G108))+1)))*(IF(H108="",1,IF(H108&gt;0,(H108/100)+1,(100/((-1)*H108))+1)))*(IF(I108="",1,IF(I108&gt;0,(I108/100)+1,(100/((-1)*I108))+1)))*(IF(J108="",1,IF(J108&gt;0,(J108/100)+1,(100/((-1)*J108))+1)))*(IF(K108="",1,IF(K108&gt;0,(K108/100)+1,(100/((-1)*K108))+1)))*(IF(L108="",1,IF(L108&gt;0,(L108/100)+1,(100/((-1)*L108))+1))))&lt;2,((-100)/(((IF(C108="",1,IF(C108&gt;0,(C108/100)+1,(100/((-1)*C108))+1)))*(IF(D108="",1,IF(D108&gt;0,(D108/100)+1,(100/((-1)*D108))+1)))*(IF(E108="",1,IF(E108&gt;0,(E108/100)+1,(100/((-1)*E108))+1)))*(IF(F108="",1,IF(F108&gt;0,(F108/100)+1,(100/((-1)*F108))+1)))*(IF(G108="",1,IF(G108&gt;0,(G108/100)+1,(100/((-1)*G108))+1)))*(IF(H108="",1,IF(H108&gt;0,(H108/100)+1,(100/((-1)*H108))+1)))*(IF(I108="",1,IF(I108&gt;0,(I108/100)+1,(100/((-1)*I108))+1)))*(IF(J108="",1,IF(J108&gt;0,(J108/100)+1,(100/((-1)*J108))+1)))*(IF(K108="",1,IF(K108&gt;0,(K108/100)+1,(100/((-1)*K108))+1)))*(IF(L108="",1,IF(L108&gt;0,(L108/100)+1,(100/((-1)*L108))+1))))-1)),((((IF(C108="",1,IF(C108&gt;0,(C108/100)+1,(100/((-1)*C108))+1)))*(IF(D108="",1,IF(D108&gt;0,(D108/100)+1,(100/((-1)*D108))+1)))*(IF(E108="",1,IF(E108&gt;0,(E108/100)+1,(100/((-1)*E108))+1)))*(IF(F108="",1,IF(F108&gt;0,(F108/100)+1,(100/((-1)*F108))+1)))*(IF(G108="",1,IF(G108&gt;0,(G108/100)+1,(100/((-1)*G108))+1)))*(IF(H108="",1,IF(H108&gt;0,(H108/100)+1,(100/((-1)*H108))+1)))*(IF(I108="",1,IF(I108&gt;0,(I108/100)+1,(100/((-1)*I108))+1)))*(IF(J108="",1,IF(J108&gt;0,(J108/100)+1,(100/((-1)*J108))+1)))*(IF(K108="",1,IF(K108&gt;0,(K108/100)+1,(100/((-1)*K108))+1)))*(IF(L108="",1,IF(L108&gt;0,(L108/100)+1,(100/((-1)*L108))+1))))-1)*(100))))))*10),(((IF(((IF(C108="",1,IF(C108&gt;0,(C108/100)+1,(100/((-1)*C108))+1)))*(IF(D108="",1,IF(D108&gt;0,(D108/100)+1,(100/((-1)*D108))+1)))*(IF(E108="",1,IF(E108&gt;0,(E108/100)+1,(100/((-1)*E108))+1)))*(IF(F108="",1,IF(F108&gt;0,(F108/100)+1,(100/((-1)*F108))+1)))*(IF(G108="",1,IF(G108&gt;0,(G108/100)+1,(100/((-1)*G108))+1)))*(IF(H108="",1,IF(H108&gt;0,(H108/100)+1,(100/((-1)*H108))+1)))*(IF(I108="",1,IF(I108&gt;0,(I108/100)+1,(100/((-1)*I108))+1)))*(IF(J108="",1,IF(J108&gt;0,(J108/100)+1,(100/((-1)*J108))+1)))*(IF(K108="",1,IF(K108&gt;0,(K108/100)+1,(100/((-1)*K108))+1)))*(IF(L108="",1,IF(L108&gt;0,(L108/100)+1,(100/((-1)*L108))+1))))&lt;2,((-100)/(((IF(C108="",1,IF(C108&gt;0,(C108/100)+1,(100/((-1)*C108))+1)))*(IF(D108="",1,IF(D108&gt;0,(D108/100)+1,(100/((-1)*D108))+1)))*(IF(E108="",1,IF(E108&gt;0,(E108/100)+1,(100/((-1)*E108))+1)))*(IF(F108="",1,IF(F108&gt;0,(F108/100)+1,(100/((-1)*F108))+1)))*(IF(G108="",1,IF(G108&gt;0,(G108/100)+1,(100/((-1)*G108))+1)))*(IF(H108="",1,IF(H108&gt;0,(H108/100)+1,(100/((-1)*H108))+1)))*(IF(I108="",1,IF(I108&gt;0,(I108/100)+1,(100/((-1)*I108))+1)))*(IF(J108="",1,IF(J108&gt;0,(J108/100)+1,(100/((-1)*J108))+1)))*(IF(K108="",1,IF(K108&gt;0,(K108/100)+1,(100/((-1)*K108))+1)))*(IF(L108="",1,IF(L108&gt;0,(L108/100)+1,(100/((-1)*L108))+1))))-1)),((((IF(C108="",1,IF(C108&gt;0,(C108/100)+1,(100/((-1)*C108))+1)))*(IF(D108="",1,IF(D108&gt;0,(D108/100)+1,(100/((-1)*D108))+1)))*(IF(E108="",1,IF(E108&gt;0,(E108/100)+1,(100/((-1)*E108))+1)))*(IF(F108="",1,IF(F108&gt;0,(F108/100)+1,(100/((-1)*F108))+1)))*(IF(G108="",1,IF(G108&gt;0,(G108/100)+1,(100/((-1)*G108))+1)))*(IF(H108="",1,IF(H108&gt;0,(H108/100)+1,(100/((-1)*H108))+1)))*(IF(I108="",1,IF(I108&gt;0,(I108/100)+1,(100/((-1)*I108))+1)))*(IF(J108="",1,IF(J108&gt;0,(J108/100)+1,(100/((-1)*J108))+1)))*(IF(K108="",1,IF(K108&gt;0,(K108/100)+1,(100/((-1)*K108))+1)))*(IF(L108="",1,IF(L108&gt;0,(L108/100)+1,(100/((-1)*L108))+1))))-1)*(100))))/100)*10)))</f>
        <v>2713.424397</v>
      </c>
      <c r="P108" s="4"/>
      <c r="Q108" s="4"/>
    </row>
    <row r="109">
      <c r="A109" s="3" t="s">
        <v>37</v>
      </c>
      <c r="B109" s="2"/>
      <c r="C109" s="5" t="s">
        <v>484</v>
      </c>
      <c r="D109" s="5" t="s">
        <v>370</v>
      </c>
      <c r="E109" s="5" t="s">
        <v>485</v>
      </c>
      <c r="F109" s="5" t="s">
        <v>486</v>
      </c>
      <c r="G109" s="5" t="s">
        <v>487</v>
      </c>
      <c r="H109" s="5" t="s">
        <v>488</v>
      </c>
      <c r="I109" s="5" t="s">
        <v>489</v>
      </c>
      <c r="J109" s="5" t="s">
        <v>490</v>
      </c>
      <c r="K109" s="5" t="s">
        <v>491</v>
      </c>
      <c r="L109" s="5" t="s">
        <v>492</v>
      </c>
      <c r="M109" s="2"/>
      <c r="N109" s="4"/>
      <c r="O109" s="4"/>
      <c r="P109" s="4"/>
      <c r="Q109" s="4"/>
    </row>
    <row r="110">
      <c r="A110" s="3" t="s">
        <v>48</v>
      </c>
      <c r="B110" s="2"/>
      <c r="C110" s="5"/>
      <c r="D110" s="5" t="s">
        <v>493</v>
      </c>
      <c r="E110" s="5" t="s">
        <v>494</v>
      </c>
      <c r="F110" s="5" t="s">
        <v>495</v>
      </c>
      <c r="G110" s="5" t="s">
        <v>496</v>
      </c>
      <c r="H110" s="5" t="s">
        <v>497</v>
      </c>
      <c r="I110" s="5" t="s">
        <v>498</v>
      </c>
      <c r="J110" s="5" t="s">
        <v>499</v>
      </c>
      <c r="K110" s="5" t="s">
        <v>500</v>
      </c>
      <c r="L110" s="5" t="s">
        <v>501</v>
      </c>
      <c r="M110" s="2"/>
      <c r="N110" s="4"/>
      <c r="O110" s="3" t="s">
        <v>56</v>
      </c>
      <c r="P110" s="3" t="s">
        <v>57</v>
      </c>
      <c r="Q110" s="4"/>
    </row>
    <row r="111">
      <c r="A111" s="3" t="s">
        <v>59</v>
      </c>
      <c r="B111" s="2"/>
      <c r="C111" s="5" t="s">
        <v>60</v>
      </c>
      <c r="D111" s="5" t="s">
        <v>60</v>
      </c>
      <c r="E111" s="5" t="s">
        <v>62</v>
      </c>
      <c r="F111" s="5" t="s">
        <v>62</v>
      </c>
      <c r="G111" s="5" t="s">
        <v>60</v>
      </c>
      <c r="H111" s="5" t="s">
        <v>62</v>
      </c>
      <c r="I111" s="5" t="s">
        <v>60</v>
      </c>
      <c r="J111" s="5" t="s">
        <v>62</v>
      </c>
      <c r="K111" s="5" t="s">
        <v>60</v>
      </c>
      <c r="L111" s="5" t="s">
        <v>62</v>
      </c>
      <c r="M111" s="2"/>
      <c r="N111" s="3" t="s">
        <v>65</v>
      </c>
      <c r="O111" s="12" t="str">
        <f>IFERROR(__xludf.DUMMYFUNCTION("IF(OR(COUNTA(C108:L108) = 0, COUNTA(C111:L111) = 0), """", IFERROR(TEXTJOIN("", "", TRUE, FILTER(C105:L105, (C111:L111 = ""W"") * (C108:L108 = MAX(FILTER(C108:L108, C111:L111 = ""W""))))), """"))"),"Taylon")</f>
        <v>Taylon</v>
      </c>
      <c r="P111" s="12" t="str">
        <f>IFERROR(__xludf.DUMMYFUNCTION("IF(COUNTA(C116:L116) = 0, """", IFERROR(TEXTJOIN("", "", TRUE, FILTER(C105:L105, C116:L116 = MAX(C116:L116))), """"))"),"Hunter")</f>
        <v>Hunter</v>
      </c>
      <c r="Q111" s="4"/>
    </row>
    <row r="112">
      <c r="A112" s="1" t="s">
        <v>81</v>
      </c>
      <c r="B112" s="2"/>
      <c r="C112" s="4">
        <f t="shared" ref="C112:L112" si="33">IF(OR(C108="",C111=""),"",C99+COUNTIF(C111,"W"))</f>
        <v>7</v>
      </c>
      <c r="D112" s="4">
        <f t="shared" si="33"/>
        <v>7</v>
      </c>
      <c r="E112" s="4">
        <f t="shared" si="33"/>
        <v>4</v>
      </c>
      <c r="F112" s="4">
        <f t="shared" si="33"/>
        <v>3</v>
      </c>
      <c r="G112" s="4">
        <f t="shared" si="33"/>
        <v>7</v>
      </c>
      <c r="H112" s="4">
        <f t="shared" si="33"/>
        <v>4</v>
      </c>
      <c r="I112" s="4">
        <f t="shared" si="33"/>
        <v>4</v>
      </c>
      <c r="J112" s="4">
        <f t="shared" si="33"/>
        <v>4</v>
      </c>
      <c r="K112" s="4">
        <f t="shared" si="33"/>
        <v>6</v>
      </c>
      <c r="L112" s="4">
        <f t="shared" si="33"/>
        <v>4</v>
      </c>
      <c r="M112" s="2"/>
      <c r="N112" s="3" t="s">
        <v>82</v>
      </c>
      <c r="O112" s="4" t="str">
        <f>IFERROR(__xludf.DUMMYFUNCTION("IF(OR(COUNTA(C108:L108) = 0, COUNTA(C111:L111) = 0), """", IFERROR(TEXTJOIN("", "", TRUE, FILTER(C105:L105, (C111:L111 = ""L"") * (C108:L108 = MIN(FILTER(C108:L108, C111:L111 = ""L""))))), """"))"),"Tanner")</f>
        <v>Tanner</v>
      </c>
      <c r="P112" s="12" t="str">
        <f>IFERROR(__xludf.DUMMYFUNCTION("IF(COUNTA(C116:L116) = 0, """", IFERROR(TEXTJOIN("", "", TRUE, FILTER(C105:L105, C116:L116 = MIN(C116:L116))), """"))"),"Dan")</f>
        <v>Dan</v>
      </c>
      <c r="Q112" s="4"/>
    </row>
    <row r="113">
      <c r="A113" s="1" t="s">
        <v>83</v>
      </c>
      <c r="B113" s="2"/>
      <c r="C113" s="27">
        <f t="shared" ref="C113:L113" si="34">IF(OR(C108="",C111=""),"",C100+COUNTIF(C111,"L"))</f>
        <v>2</v>
      </c>
      <c r="D113" s="27">
        <f t="shared" si="34"/>
        <v>2</v>
      </c>
      <c r="E113" s="27">
        <f t="shared" si="34"/>
        <v>5</v>
      </c>
      <c r="F113" s="27">
        <f t="shared" si="34"/>
        <v>6</v>
      </c>
      <c r="G113" s="27">
        <f t="shared" si="34"/>
        <v>2</v>
      </c>
      <c r="H113" s="27">
        <f t="shared" si="34"/>
        <v>5</v>
      </c>
      <c r="I113" s="27">
        <f t="shared" si="34"/>
        <v>5</v>
      </c>
      <c r="J113" s="27">
        <f t="shared" si="34"/>
        <v>5</v>
      </c>
      <c r="K113" s="27">
        <f t="shared" si="34"/>
        <v>3</v>
      </c>
      <c r="L113" s="27">
        <f t="shared" si="34"/>
        <v>5</v>
      </c>
      <c r="M113" s="2"/>
      <c r="N113" s="3" t="s">
        <v>84</v>
      </c>
      <c r="O113" s="12" t="str">
        <f>IFERROR(__xludf.DUMMYFUNCTION("IF(COUNTA(C108:L108) = 0, """", IFERROR(TEXTJOIN("", "", TRUE, FILTER(C105:L105, C108:L108 = MAX(C108:L108))), """"))"),"Taylon")</f>
        <v>Taylon</v>
      </c>
      <c r="P113" s="4" t="str">
        <f>IFERROR(__xludf.DUMMYFUNCTION("IF(COUNTA(C108:L108) = 0, """", IFERROR(TEXTJOIN("", "", TRUE, FILTER(C105:L105, C115:L115 = MAX(C115:L115))), """"))"),"Jake")</f>
        <v>Jake</v>
      </c>
      <c r="Q113" s="4"/>
    </row>
    <row r="114">
      <c r="A114" s="3" t="s">
        <v>85</v>
      </c>
      <c r="B114" s="2"/>
      <c r="C114" s="24">
        <f t="shared" ref="C114:L114" si="35">IF(OR(C108="",C111=""),"",(C112/(C112+C113)))</f>
        <v>0.7777777778</v>
      </c>
      <c r="D114" s="24">
        <f t="shared" si="35"/>
        <v>0.7777777778</v>
      </c>
      <c r="E114" s="24">
        <f t="shared" si="35"/>
        <v>0.4444444444</v>
      </c>
      <c r="F114" s="24">
        <f t="shared" si="35"/>
        <v>0.3333333333</v>
      </c>
      <c r="G114" s="24">
        <f t="shared" si="35"/>
        <v>0.7777777778</v>
      </c>
      <c r="H114" s="24">
        <f t="shared" si="35"/>
        <v>0.4444444444</v>
      </c>
      <c r="I114" s="24">
        <f t="shared" si="35"/>
        <v>0.4444444444</v>
      </c>
      <c r="J114" s="24">
        <f t="shared" si="35"/>
        <v>0.4444444444</v>
      </c>
      <c r="K114" s="24">
        <f t="shared" si="35"/>
        <v>0.6666666667</v>
      </c>
      <c r="L114" s="24">
        <f t="shared" si="35"/>
        <v>0.4444444444</v>
      </c>
      <c r="M114" s="14"/>
      <c r="N114" s="3" t="s">
        <v>86</v>
      </c>
      <c r="O114" s="4" t="str">
        <f>IFERROR(__xludf.DUMMYFUNCTION("IF(COUNTA(C108:L108) = 0, """", IFERROR(TEXTJOIN("", "", TRUE, FILTER(C105:L105, C108:L108 = MIN(C108:L108))), """"))"),"Tanner")</f>
        <v>Tanner</v>
      </c>
      <c r="P114" s="4" t="str">
        <f>IFERROR(__xludf.DUMMYFUNCTION("IF(COUNTA(C108:L108) = 0, """", IFERROR(TEXTJOIN("", "", TRUE, FILTER(C105:L105, C115:L115 = MIN(C115:L115))), """"))"),"Tanner")</f>
        <v>Tanner</v>
      </c>
      <c r="Q114" s="4"/>
    </row>
    <row r="115">
      <c r="A115" s="3" t="s">
        <v>87</v>
      </c>
      <c r="B115" s="2"/>
      <c r="C115" s="25">
        <f t="shared" ref="C115:L115" si="36">IF(C108="","",IF(((IF(C108 &lt;0,((-100/C108)+1),((C108/100)+1))+(IF(C102&lt;0,((-100/C102)+1),((C102/100)+1)))*(C99+C100))/(C99+C100+1))&lt;2,(-100/(((IF(C108 &lt;0,((-100/C108)+1),((C108/100)+1))+(IF(C102&lt;0,((-100/C102)+1),((C102/100)+1)))*(C99+C100))/(C99+C100+1))-1)),(((IF(C108 &lt;0,((-100/C108)+1),((C108/100)+1))+(IF(C102&lt;0,((-100/C102)+1),((C102/100)+1)))*(C99+C100))/(C99+C100+1))-1)*100))</f>
        <v>-125.7826493</v>
      </c>
      <c r="D115" s="25">
        <f t="shared" si="36"/>
        <v>-128.8582005</v>
      </c>
      <c r="E115" s="25">
        <f t="shared" si="36"/>
        <v>-132.9072157</v>
      </c>
      <c r="F115" s="25">
        <f t="shared" si="36"/>
        <v>-116.7495963</v>
      </c>
      <c r="G115" s="25">
        <f t="shared" si="36"/>
        <v>-115.9958331</v>
      </c>
      <c r="H115" s="25">
        <f t="shared" si="36"/>
        <v>103.8274318</v>
      </c>
      <c r="I115" s="25">
        <f t="shared" si="36"/>
        <v>-126.1654144</v>
      </c>
      <c r="J115" s="25">
        <f t="shared" si="36"/>
        <v>-140.6419466</v>
      </c>
      <c r="K115" s="25">
        <f t="shared" si="36"/>
        <v>-118.661564</v>
      </c>
      <c r="L115" s="25">
        <f t="shared" si="36"/>
        <v>-119.0658808</v>
      </c>
      <c r="M115" s="14"/>
      <c r="N115" s="4"/>
      <c r="O115" s="12"/>
      <c r="P115" s="12"/>
      <c r="Q115" s="4"/>
    </row>
    <row r="116">
      <c r="A116" s="16" t="s">
        <v>88</v>
      </c>
      <c r="B116" s="2"/>
      <c r="C116" s="26">
        <f>IFERROR(__xludf.DUMMYFUNCTION("IF(OR(C108="""",C111=""""),"""",IF(REGEXMATCH(C111,""W""),IF(C108&lt;0,((-100/C108))*10+C103,((C108/100)*10+C103)),-10+C103))"),32.75544731850591)</f>
        <v>32.75544732</v>
      </c>
      <c r="D116" s="26">
        <f>IFERROR(__xludf.DUMMYFUNCTION("IF(OR(D108="""",D111=""""),"""",IF(REGEXMATCH(D111,""W""),IF(D108&lt;0,((-100/D108))*10+D103,((D108/100)*10+D103)),-10+D103))"),33.05490789312355)</f>
        <v>33.05490789</v>
      </c>
      <c r="E116" s="26">
        <f>IFERROR(__xludf.DUMMYFUNCTION("IF(OR(E108="""",E111=""""),"""",IF(REGEXMATCH(E111,""W""),IF(E108&lt;0,((-100/E108))*10+E103,((E108/100)*10+E103)),-10+E103))"),-21.95210247841827)</f>
        <v>-21.95210248</v>
      </c>
      <c r="F116" s="26">
        <f>IFERROR(__xludf.DUMMYFUNCTION("IF(OR(F108="""",F111=""""),"""",IF(REGEXMATCH(F111,""W""),IF(F108&lt;0,((-100/F108))*10+F103,((F108/100)*10+F103)),-10+F103))"),-30.63003589948145)</f>
        <v>-30.6300359</v>
      </c>
      <c r="G116" s="26">
        <f>IFERROR(__xludf.DUMMYFUNCTION("IF(OR(G108="""",G111=""""),"""",IF(REGEXMATCH(G111,""W""),IF(G108&lt;0,((-100/G108))*10+G103,((G108/100)*10+G103)),-10+G103))"),37.57998497181282)</f>
        <v>37.57998497</v>
      </c>
      <c r="H116" s="26">
        <f>IFERROR(__xludf.DUMMYFUNCTION("IF(OR(H108="""",H111=""""),"""",IF(REGEXMATCH(H111,""W""),IF(H108&lt;0,((-100/H108))*10+H103,((H108/100)*10+H103)),-10+H103))"),-6.045787545787543)</f>
        <v>-6.045787546</v>
      </c>
      <c r="I116" s="26">
        <f>IFERROR(__xludf.DUMMYFUNCTION("IF(OR(I108="""",I111=""""),"""",IF(REGEXMATCH(I111,""W""),IF(I108&lt;0,((-100/I108))*10+I103,((I108/100)*10+I103)),-10+I103))"),-22.76317885013537)</f>
        <v>-22.76317885</v>
      </c>
      <c r="J116" s="26">
        <f>IFERROR(__xludf.DUMMYFUNCTION("IF(OR(J108="""",J111=""""),"""",IF(REGEXMATCH(J111,""W""),IF(J108&lt;0,((-100/J108))*10+J103,((J108/100)*10+J103)),-10+J103))"),-24.536807971565004)</f>
        <v>-24.53680797</v>
      </c>
      <c r="K116" s="26">
        <f>IFERROR(__xludf.DUMMYFUNCTION("IF(OR(K108="""",K111=""""),"""",IF(REGEXMATCH(K111,""W""),IF(K108&lt;0,((-100/K108))*10+K103,((K108/100)*10+K103)),-10+K103))"),21.890753552417046)</f>
        <v>21.89075355</v>
      </c>
      <c r="L116" s="26">
        <f>IFERROR(__xludf.DUMMYFUNCTION("IF(OR(L108="""",L111=""""),"""",IF(REGEXMATCH(L111,""W""),IF(L108&lt;0,((-100/L108))*10+L103,((L108/100)*10+L103)),-10+L103))"),-12.942819136345992)</f>
        <v>-12.94281914</v>
      </c>
      <c r="M116" s="14"/>
      <c r="N116" s="16" t="s">
        <v>89</v>
      </c>
      <c r="O116" s="10">
        <f>IFERROR(__xludf.DUMMYFUNCTION("IF(AND(C116="""",AND(D116="""",AND(E116="""",AND(F116="""",AND(G116="""",AND(H116="""",AND(I116="""",AND(J116="""",AND(K116="""",L116=""""))))))))),"""",(IF(C111="""",0,IF(REGEXMATCH(C111,""W""),IF(C108&lt;0,((-100/C108))*10,((C108/100)*10)),-10))+IF(D111="""&amp;""",0,IF(REGEXMATCH(D111,""W""),IF(D108&lt;0,((-100/D108))*10,((D108/100)*10)),-10))+IF(E111="""",0,IF(REGEXMATCH(E111,""W""),IF(E108&lt;0,((-100/E108))*10,((E108/100)*10)),-10))+IF(F111="""",0,IF(REGEXMATCH(F111,""W""),IF(F108&lt;0,((-100/F108))*10,((F108/100)*10)"&amp;"),-10))+IF(G111="""",0,IF(REGEXMATCH(G111,""W""),IF(G108&lt;0,((-100/G108))*10,((G108/100)*10)),-10))+IF(H111="""",0,IF(REGEXMATCH(H111,""W""),IF(H108&lt;0,((-100/H108))*10,((H108/100)*10)),-10))+IF(I111="""",0,IF(REGEXMATCH(I111,""W""),IF(I108&lt;0,((-100/I108))*"&amp;"10,((I108/100)*10)),-10))+IF(J111="""",0,IF(REGEXMATCH(J111,""W""),IF(J108&lt;0,((-100/J108))*10,((J108/100)*10)),-10))+IF(K111="""",0,IF(REGEXMATCH(K111,""W""),IF(K108&lt;0,((-100/K108))*10,((K108/100)*10)),-10))+IF(L111="""",0,IF(REGEXMATCH(L111,""W""),IF(L10"&amp;"8&lt;0,((-100/L108))*10,((L108/100)*10)),-10))))"),-9.887374537878566)</f>
        <v>-9.887374538</v>
      </c>
      <c r="P116" s="10">
        <f>IFERROR(__xludf.DUMMYFUNCTION("IF(AND(C116="""",AND(D116="""",AND(E116="""",AND(F116="""",AND(G116="""",AND(H116="""",AND(I116="""",AND(J116="""",AND(K116="""",L116=""""))))))))),"""",(P103+IF(C111="""",0,IF(REGEXMATCH(C111,""W""),IF(C108&lt;0,((-100/C108))*10,((C108/100)*10)),-10))+IF(D1"&amp;"11="""",0,IF(REGEXMATCH(D111,""W""),IF(D108&lt;0,((-100/D108))*10,((D108/100)*10)),-10))+IF(E111="""",0,IF(REGEXMATCH(E111,""W""),IF(E108&lt;0,((-100/E108))*10,((E108/100)*10)),-10))+IF(F111="""",0,IF(REGEXMATCH(F111,""W""),IF(F108&lt;0,((-100/F108))*10,((F108/100"&amp;")*10)),-10))+IF(G111="""",0,IF(REGEXMATCH(G111,""W""),IF(G108&lt;0,((-100/G108))*10,((G108/100)*10)),-10))+IF(H111="""",0,IF(REGEXMATCH(H111,""W""),IF(H108&lt;0,((-100/H108))*10,((H108/100)*10)),-10))+IF(I111="""",0,IF(REGEXMATCH(I111,""W""),IF(I108&lt;0,((-100/I1"&amp;"08))*10,((I108/100)*10)),-10))+IF(J111="""",0,IF(REGEXMATCH(J111,""W""),IF(J108&lt;0,((-100/J108))*10,((J108/100)*10)),-10))+IF(K111="""",0,IF(REGEXMATCH(K111,""W""),IF(K108&lt;0,((-100/K108))*10,((K108/100)*10)),-10))+IF(L111="""",0,IF(REGEXMATCH(L111,""W""),I"&amp;"F(L108&lt;0,((-100/L108))*10,((L108/100)*10)),-10))))"),6.4103618541257035)</f>
        <v>6.410361854</v>
      </c>
      <c r="Q116" s="4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</row>
    <row r="118">
      <c r="A118" s="1" t="s">
        <v>272</v>
      </c>
      <c r="B118" s="2"/>
      <c r="C118" s="3" t="s">
        <v>1</v>
      </c>
      <c r="D118" s="3" t="s">
        <v>2</v>
      </c>
      <c r="E118" s="3" t="s">
        <v>3</v>
      </c>
      <c r="F118" s="3" t="s">
        <v>4</v>
      </c>
      <c r="G118" s="3" t="s">
        <v>5</v>
      </c>
      <c r="H118" s="3" t="s">
        <v>6</v>
      </c>
      <c r="I118" s="3" t="s">
        <v>7</v>
      </c>
      <c r="J118" s="3" t="s">
        <v>8</v>
      </c>
      <c r="K118" s="3" t="s">
        <v>9</v>
      </c>
      <c r="L118" s="3" t="s">
        <v>10</v>
      </c>
      <c r="M118" s="2"/>
      <c r="N118" s="4"/>
      <c r="O118" s="3" t="s">
        <v>11</v>
      </c>
      <c r="P118" s="4"/>
      <c r="Q118" s="4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</row>
    <row r="120">
      <c r="A120" s="3" t="s">
        <v>12</v>
      </c>
      <c r="B120" s="2"/>
      <c r="C120" s="5" t="s">
        <v>510</v>
      </c>
      <c r="D120" s="5" t="s">
        <v>104</v>
      </c>
      <c r="E120" s="19" t="s">
        <v>511</v>
      </c>
      <c r="F120" s="5" t="s">
        <v>512</v>
      </c>
      <c r="G120" s="5" t="s">
        <v>513</v>
      </c>
      <c r="H120" s="5" t="s">
        <v>514</v>
      </c>
      <c r="I120" s="5" t="s">
        <v>306</v>
      </c>
      <c r="J120" s="5" t="s">
        <v>515</v>
      </c>
      <c r="K120" s="5" t="s">
        <v>516</v>
      </c>
      <c r="L120" s="5" t="s">
        <v>517</v>
      </c>
      <c r="M120" s="2"/>
      <c r="N120" s="3" t="s">
        <v>13</v>
      </c>
      <c r="O120" s="7">
        <f>IF(AND(C121="",AND(D121="",AND(E121="",AND(F121="",AND(G121="",AND(H121="",AND(I121="",AND(J121="",AND(K121="",L121=""))))))))),"",IF(((IF(C121="",1,IF(C121&gt;0,(C121/100)+1,(100/((-1)*C121))+1)))*(IF(D121="",1,IF(D121&gt;0,(D121/100)+1,(100/((-1)*D121))+1)))*(IF(E121="",1,IF(E121&gt;0,(E121/100)+1,(100/((-1)*E121))+1)))*(IF(F121="",1,IF(F121&gt;0,(F121/100)+1,(100/((-1)*F121))+1)))*(IF(G121="",1,IF(G121&gt;0,(G121/100)+1,(100/((-1)*G121))+1)))*(IF(H121="",1,IF(H121&gt;0,(H121/100)+1,(100/((-1)*H121))+1)))*(IF(I121="",1,IF(I121&gt;0,(I121/100)+1,(100/((-1)*I121))+1)))*(IF(J121="",1,IF(J121&gt;0,(J121/100)+1,(100/((-1)*J121))+1)))*(IF(K121="",1,IF(K121&gt;0,(K121/100)+1,(100/((-1)*K121))+1)))*(IF(L121="",1,IF(L121&gt;0,(L121/100)+1,(100/((-1)*L121))+1))))&lt;2,((-100)/(((IF(C121="",1,IF(C121&gt;0,(C121/100)+1,(100/((-1)*C121))+1)))*(IF(D121="",1,IF(D121&gt;0,(D121/100)+1,(100/((-1)*D121))+1)))*(IF(E121="",1,IF(E121&gt;0,(E121/100)+1,(100/((-1)*E121))+1)))*(IF(F121="",1,IF(F121&gt;0,(F121/100)+1,(100/((-1)*F121))+1)))*(IF(G121="",1,IF(G121&gt;0,(G121/100)+1,(100/((-1)*G121))+1)))*(IF(H121="",1,IF(H121&gt;0,(H121/100)+1,(100/((-1)*H121))+1)))*(IF(I121="",1,IF(I121&gt;0,(I121/100)+1,(100/((-1)*I121))+1)))*(IF(J121="",1,IF(J121&gt;0,(J121/100)+1,(100/((-1)*J121))+1)))*(IF(K121="",1,IF(K121&gt;0,(K121/100)+1,(100/((-1)*K121))+1)))*(IF(L121="",1,IF(L121&gt;0,(L121/100)+1,(100/((-1)*L121))+1))))-1)),((((IF(C121="",1,IF(C121&gt;0,(C121/100)+1,(100/((-1)*C121))+1)))*(IF(D121="",1,IF(D121&gt;0,(D121/100)+1,(100/((-1)*D121))+1)))*(IF(E121="",1,IF(E121&gt;0,(E121/100)+1,(100/((-1)*E121))+1)))*(IF(F121="",1,IF(F121&gt;0,(F121/100)+1,(100/((-1)*F121))+1)))*(IF(G121="",1,IF(G121&gt;0,(G121/100)+1,(100/((-1)*G121))+1)))*(IF(H121="",1,IF(H121&gt;0,(H121/100)+1,(100/((-1)*H121))+1)))*(IF(I121="",1,IF(I121&gt;0,(I121/100)+1,(100/((-1)*I121))+1)))*(IF(J121="",1,IF(J121&gt;0,(J121/100)+1,(100/((-1)*J121))+1)))*(IF(K121="",1,IF(K121&gt;0,(K121/100)+1,(100/((-1)*K121))+1)))*(IF(L121="",1,IF(L121&gt;0,(L121/100)+1,(100/((-1)*L121))+1))))-1)*(100))))</f>
        <v>42502.65062</v>
      </c>
      <c r="P120" s="4"/>
      <c r="Q120" s="8" t="s">
        <v>35</v>
      </c>
    </row>
    <row r="121">
      <c r="A121" s="3" t="s">
        <v>13</v>
      </c>
      <c r="B121" s="2"/>
      <c r="C121" s="5">
        <v>-152.0</v>
      </c>
      <c r="D121" s="5">
        <v>-130.0</v>
      </c>
      <c r="E121" s="5">
        <v>-116.0</v>
      </c>
      <c r="F121" s="5">
        <v>-111.0</v>
      </c>
      <c r="G121" s="5">
        <v>140.0</v>
      </c>
      <c r="H121" s="5">
        <v>-109.0</v>
      </c>
      <c r="I121" s="5">
        <v>135.0</v>
      </c>
      <c r="J121" s="5">
        <v>-185.0</v>
      </c>
      <c r="K121" s="5">
        <v>-167.0</v>
      </c>
      <c r="L121" s="5">
        <v>-185.0</v>
      </c>
      <c r="M121" s="2">
        <v>9.0</v>
      </c>
      <c r="N121" s="3" t="s">
        <v>36</v>
      </c>
      <c r="O121" s="10">
        <f>IF(AND(C121="",AND(D121="",AND(E121="",AND(F121="",AND(G121="",AND(H121="",AND(I121="",AND(J121="",AND(K121="",L121=""))))))))),"",10+IF((IF(((IF(C121="",1,IF(C121&gt;0,(C121/100)+1,(100/((-1)*C121))+1)))*(IF(D121="",1,IF(D121&gt;0,(D121/100)+1,(100/((-1)*D121))+1)))*(IF(E121="",1,IF(E121&gt;0,(E121/100)+1,(100/((-1)*E121))+1)))*(IF(F121="",1,IF(F121&gt;0,(F121/100)+1,(100/((-1)*F121))+1)))*(IF(G121="",1,IF(G121&gt;0,(G121/100)+1,(100/((-1)*G121))+1)))*(IF(H121="",1,IF(H121&gt;0,(H121/100)+1,(100/((-1)*H121))+1)))*(IF(I121="",1,IF(I121&gt;0,(I121/100)+1,(100/((-1)*I121))+1)))*(IF(J121="",1,IF(J121&gt;0,(J121/100)+1,(100/((-1)*J121))+1)))*(IF(K121="",1,IF(K121&gt;0,(K121/100)+1,(100/((-1)*K121))+1)))*(IF(L121="",1,IF(L121&gt;0,(L121/100)+1,(100/((-1)*L121))+1))))&lt;2,((-100)/(((IF(C121="",1,IF(C121&gt;0,(C121/100)+1,(100/((-1)*C121))+1)))*(IF(D121="",1,IF(D121&gt;0,(D121/100)+1,(100/((-1)*D121))+1)))*(IF(E121="",1,IF(E121&gt;0,(E121/100)+1,(100/((-1)*E121))+1)))*(IF(F121="",1,IF(F121&gt;0,(F121/100)+1,(100/((-1)*F121))+1)))*(IF(G121="",1,IF(G121&gt;0,(G121/100)+1,(100/((-1)*G121))+1)))*(IF(H121="",1,IF(H121&gt;0,(H121/100)+1,(100/((-1)*H121))+1)))*(IF(I121="",1,IF(I121&gt;0,(I121/100)+1,(100/((-1)*I121))+1)))*(IF(J121="",1,IF(J121&gt;0,(J121/100)+1,(100/((-1)*J121))+1)))*(IF(K121="",1,IF(K121&gt;0,(K121/100)+1,(100/((-1)*K121))+1)))*(IF(L121="",1,IF(L121&gt;0,(L121/100)+1,(100/((-1)*L121))+1))))-1)),((((IF(C121="",1,IF(C121&gt;0,(C121/100)+1,(100/((-1)*C121))+1)))*(IF(D121="",1,IF(D121&gt;0,(D121/100)+1,(100/((-1)*D121))+1)))*(IF(E121="",1,IF(E121&gt;0,(E121/100)+1,(100/((-1)*E121))+1)))*(IF(F121="",1,IF(F121&gt;0,(F121/100)+1,(100/((-1)*F121))+1)))*(IF(G121="",1,IF(G121&gt;0,(G121/100)+1,(100/((-1)*G121))+1)))*(IF(H121="",1,IF(H121&gt;0,(H121/100)+1,(100/((-1)*H121))+1)))*(IF(I121="",1,IF(I121&gt;0,(I121/100)+1,(100/((-1)*I121))+1)))*(IF(J121="",1,IF(J121&gt;0,(J121/100)+1,(100/((-1)*J121))+1)))*(IF(K121="",1,IF(K121&gt;0,(K121/100)+1,(100/((-1)*K121))+1)))*(IF(L121="",1,IF(L121&gt;0,(L121/100)+1,(100/((-1)*L121))+1))))-1)*(100))))&lt;0,(((-100)/((IF(((IF(C121="",1,IF(C121&gt;0,(C121/100)+1,(100/((-1)*C121))+1)))*(IF(D121="",1,IF(D121&gt;0,(D121/100)+1,(100/((-1)*D121))+1)))*(IF(E121="",1,IF(E121&gt;0,(E121/100)+1,(100/((-1)*E121))+1)))*(IF(F121="",1,IF(F121&gt;0,(F121/100)+1,(100/((-1)*F121))+1)))*(IF(G121="",1,IF(G121&gt;0,(G121/100)+1,(100/((-1)*G121))+1)))*(IF(H121="",1,IF(H121&gt;0,(H121/100)+1,(100/((-1)*H121))+1)))*(IF(I121="",1,IF(I121&gt;0,(I121/100)+1,(100/((-1)*I121))+1)))*(IF(J121="",1,IF(J121&gt;0,(J121/100)+1,(100/((-1)*J121))+1)))*(IF(K121="",1,IF(K121&gt;0,(K121/100)+1,(100/((-1)*K121))+1)))*(IF(L121="",1,IF(L121&gt;0,(L121/100)+1,(100/((-1)*L121))+1))))&lt;2,((-100)/(((IF(C121="",1,IF(C121&gt;0,(C121/100)+1,(100/((-1)*C121))+1)))*(IF(D121="",1,IF(D121&gt;0,(D121/100)+1,(100/((-1)*D121))+1)))*(IF(E121="",1,IF(E121&gt;0,(E121/100)+1,(100/((-1)*E121))+1)))*(IF(F121="",1,IF(F121&gt;0,(F121/100)+1,(100/((-1)*F121))+1)))*(IF(G121="",1,IF(G121&gt;0,(G121/100)+1,(100/((-1)*G121))+1)))*(IF(H121="",1,IF(H121&gt;0,(H121/100)+1,(100/((-1)*H121))+1)))*(IF(I121="",1,IF(I121&gt;0,(I121/100)+1,(100/((-1)*I121))+1)))*(IF(J121="",1,IF(J121&gt;0,(J121/100)+1,(100/((-1)*J121))+1)))*(IF(K121="",1,IF(K121&gt;0,(K121/100)+1,(100/((-1)*K121))+1)))*(IF(L121="",1,IF(L121&gt;0,(L121/100)+1,(100/((-1)*L121))+1))))-1)),((((IF(C121="",1,IF(C121&gt;0,(C121/100)+1,(100/((-1)*C121))+1)))*(IF(D121="",1,IF(D121&gt;0,(D121/100)+1,(100/((-1)*D121))+1)))*(IF(E121="",1,IF(E121&gt;0,(E121/100)+1,(100/((-1)*E121))+1)))*(IF(F121="",1,IF(F121&gt;0,(F121/100)+1,(100/((-1)*F121))+1)))*(IF(G121="",1,IF(G121&gt;0,(G121/100)+1,(100/((-1)*G121))+1)))*(IF(H121="",1,IF(H121&gt;0,(H121/100)+1,(100/((-1)*H121))+1)))*(IF(I121="",1,IF(I121&gt;0,(I121/100)+1,(100/((-1)*I121))+1)))*(IF(J121="",1,IF(J121&gt;0,(J121/100)+1,(100/((-1)*J121))+1)))*(IF(K121="",1,IF(K121&gt;0,(K121/100)+1,(100/((-1)*K121))+1)))*(IF(L121="",1,IF(L121&gt;0,(L121/100)+1,(100/((-1)*L121))+1))))-1)*(100))))))*10),(((IF(((IF(C121="",1,IF(C121&gt;0,(C121/100)+1,(100/((-1)*C121))+1)))*(IF(D121="",1,IF(D121&gt;0,(D121/100)+1,(100/((-1)*D121))+1)))*(IF(E121="",1,IF(E121&gt;0,(E121/100)+1,(100/((-1)*E121))+1)))*(IF(F121="",1,IF(F121&gt;0,(F121/100)+1,(100/((-1)*F121))+1)))*(IF(G121="",1,IF(G121&gt;0,(G121/100)+1,(100/((-1)*G121))+1)))*(IF(H121="",1,IF(H121&gt;0,(H121/100)+1,(100/((-1)*H121))+1)))*(IF(I121="",1,IF(I121&gt;0,(I121/100)+1,(100/((-1)*I121))+1)))*(IF(J121="",1,IF(J121&gt;0,(J121/100)+1,(100/((-1)*J121))+1)))*(IF(K121="",1,IF(K121&gt;0,(K121/100)+1,(100/((-1)*K121))+1)))*(IF(L121="",1,IF(L121&gt;0,(L121/100)+1,(100/((-1)*L121))+1))))&lt;2,((-100)/(((IF(C121="",1,IF(C121&gt;0,(C121/100)+1,(100/((-1)*C121))+1)))*(IF(D121="",1,IF(D121&gt;0,(D121/100)+1,(100/((-1)*D121))+1)))*(IF(E121="",1,IF(E121&gt;0,(E121/100)+1,(100/((-1)*E121))+1)))*(IF(F121="",1,IF(F121&gt;0,(F121/100)+1,(100/((-1)*F121))+1)))*(IF(G121="",1,IF(G121&gt;0,(G121/100)+1,(100/((-1)*G121))+1)))*(IF(H121="",1,IF(H121&gt;0,(H121/100)+1,(100/((-1)*H121))+1)))*(IF(I121="",1,IF(I121&gt;0,(I121/100)+1,(100/((-1)*I121))+1)))*(IF(J121="",1,IF(J121&gt;0,(J121/100)+1,(100/((-1)*J121))+1)))*(IF(K121="",1,IF(K121&gt;0,(K121/100)+1,(100/((-1)*K121))+1)))*(IF(L121="",1,IF(L121&gt;0,(L121/100)+1,(100/((-1)*L121))+1))))-1)),((((IF(C121="",1,IF(C121&gt;0,(C121/100)+1,(100/((-1)*C121))+1)))*(IF(D121="",1,IF(D121&gt;0,(D121/100)+1,(100/((-1)*D121))+1)))*(IF(E121="",1,IF(E121&gt;0,(E121/100)+1,(100/((-1)*E121))+1)))*(IF(F121="",1,IF(F121&gt;0,(F121/100)+1,(100/((-1)*F121))+1)))*(IF(G121="",1,IF(G121&gt;0,(G121/100)+1,(100/((-1)*G121))+1)))*(IF(H121="",1,IF(H121&gt;0,(H121/100)+1,(100/((-1)*H121))+1)))*(IF(I121="",1,IF(I121&gt;0,(I121/100)+1,(100/((-1)*I121))+1)))*(IF(J121="",1,IF(J121&gt;0,(J121/100)+1,(100/((-1)*J121))+1)))*(IF(K121="",1,IF(K121&gt;0,(K121/100)+1,(100/((-1)*K121))+1)))*(IF(L121="",1,IF(L121&gt;0,(L121/100)+1,(100/((-1)*L121))+1))))-1)*(100))))/100)*10)))</f>
        <v>4260.265062</v>
      </c>
      <c r="P121" s="4"/>
      <c r="Q121" s="4"/>
    </row>
    <row r="122">
      <c r="A122" s="3" t="s">
        <v>37</v>
      </c>
      <c r="B122" s="2"/>
      <c r="C122" s="5" t="s">
        <v>518</v>
      </c>
      <c r="D122" s="5" t="s">
        <v>519</v>
      </c>
      <c r="E122" s="5" t="s">
        <v>520</v>
      </c>
      <c r="F122" s="5" t="s">
        <v>521</v>
      </c>
      <c r="G122" s="5" t="s">
        <v>522</v>
      </c>
      <c r="H122" s="5" t="s">
        <v>260</v>
      </c>
      <c r="I122" s="5" t="s">
        <v>523</v>
      </c>
      <c r="J122" s="5" t="s">
        <v>524</v>
      </c>
      <c r="K122" s="5" t="s">
        <v>525</v>
      </c>
      <c r="L122" s="5" t="s">
        <v>526</v>
      </c>
      <c r="M122" s="2"/>
      <c r="N122" s="4"/>
      <c r="O122" s="4"/>
      <c r="P122" s="4"/>
      <c r="Q122" s="4"/>
    </row>
    <row r="123">
      <c r="A123" s="3" t="s">
        <v>48</v>
      </c>
      <c r="B123" s="2"/>
      <c r="C123" s="5" t="s">
        <v>527</v>
      </c>
      <c r="D123" s="11">
        <v>45955.0</v>
      </c>
      <c r="E123" s="5" t="s">
        <v>528</v>
      </c>
      <c r="F123" s="5" t="s">
        <v>529</v>
      </c>
      <c r="G123" s="5" t="s">
        <v>443</v>
      </c>
      <c r="H123" s="5" t="s">
        <v>530</v>
      </c>
      <c r="I123" s="5" t="s">
        <v>531</v>
      </c>
      <c r="J123" s="5" t="s">
        <v>532</v>
      </c>
      <c r="K123" s="5" t="s">
        <v>533</v>
      </c>
      <c r="L123" s="11">
        <v>45937.0</v>
      </c>
      <c r="M123" s="2"/>
      <c r="N123" s="4"/>
      <c r="O123" s="3" t="s">
        <v>56</v>
      </c>
      <c r="P123" s="3" t="s">
        <v>57</v>
      </c>
      <c r="Q123" s="4"/>
    </row>
    <row r="124">
      <c r="A124" s="3" t="s">
        <v>59</v>
      </c>
      <c r="B124" s="2"/>
      <c r="C124" s="5" t="s">
        <v>60</v>
      </c>
      <c r="D124" s="5" t="s">
        <v>60</v>
      </c>
      <c r="E124" s="5" t="s">
        <v>62</v>
      </c>
      <c r="F124" s="5" t="s">
        <v>62</v>
      </c>
      <c r="G124" s="5" t="s">
        <v>60</v>
      </c>
      <c r="H124" s="5" t="s">
        <v>62</v>
      </c>
      <c r="I124" s="5" t="s">
        <v>60</v>
      </c>
      <c r="J124" s="5" t="s">
        <v>62</v>
      </c>
      <c r="K124" s="5" t="s">
        <v>60</v>
      </c>
      <c r="L124" s="5" t="s">
        <v>60</v>
      </c>
      <c r="M124" s="2"/>
      <c r="N124" s="3" t="s">
        <v>65</v>
      </c>
      <c r="O124" s="12" t="str">
        <f>IFERROR(__xludf.DUMMYFUNCTION("IF(OR(COUNTA(C121:L121) = 0, COUNTA(C124:L124) = 0), """", IFERROR(TEXTJOIN("", "", TRUE, FILTER(C118:L118, (C124:L124 = ""W"") * (C121:L121 = MAX(FILTER(C121:L121, C124:L124 = ""W""))))), """"))"),"Hunter")</f>
        <v>Hunter</v>
      </c>
      <c r="P124" s="12" t="str">
        <f>IFERROR(__xludf.DUMMYFUNCTION("IF(COUNTA(C129:L129) = 0, """", IFERROR(TEXTJOIN("", "", TRUE, FILTER(C118:L118, C129:L129 = MAX(C129:L129))), """"))"),"Hunter")</f>
        <v>Hunter</v>
      </c>
      <c r="Q124" s="4"/>
    </row>
    <row r="125">
      <c r="A125" s="1" t="s">
        <v>81</v>
      </c>
      <c r="B125" s="2"/>
      <c r="C125" s="4">
        <f t="shared" ref="C125:L125" si="37">IF(OR(C121="",C124=""),"",C112+COUNTIF(C124,"W"))</f>
        <v>8</v>
      </c>
      <c r="D125" s="4">
        <f t="shared" si="37"/>
        <v>8</v>
      </c>
      <c r="E125" s="4">
        <f t="shared" si="37"/>
        <v>4</v>
      </c>
      <c r="F125" s="4">
        <f t="shared" si="37"/>
        <v>3</v>
      </c>
      <c r="G125" s="4">
        <f t="shared" si="37"/>
        <v>8</v>
      </c>
      <c r="H125" s="4">
        <f t="shared" si="37"/>
        <v>4</v>
      </c>
      <c r="I125" s="4">
        <f t="shared" si="37"/>
        <v>5</v>
      </c>
      <c r="J125" s="4">
        <f t="shared" si="37"/>
        <v>4</v>
      </c>
      <c r="K125" s="4">
        <f t="shared" si="37"/>
        <v>7</v>
      </c>
      <c r="L125" s="4">
        <f t="shared" si="37"/>
        <v>5</v>
      </c>
      <c r="M125" s="2"/>
      <c r="N125" s="3" t="s">
        <v>82</v>
      </c>
      <c r="O125" s="4" t="str">
        <f>IFERROR(__xludf.DUMMYFUNCTION("IF(OR(COUNTA(C121:L121) = 0, COUNTA(C124:L124) = 0), """", IFERROR(TEXTJOIN("", "", TRUE, FILTER(C118:L118, (C124:L124 = ""L"") * (C121:L121 = MIN(FILTER(C121:L121, C124:L124 = ""L""))))), """"))"),"Tanner")</f>
        <v>Tanner</v>
      </c>
      <c r="P125" s="12" t="str">
        <f>IFERROR(__xludf.DUMMYFUNCTION("IF(COUNTA(C129:L129) = 0, """", IFERROR(TEXTJOIN("", "", TRUE, FILTER(C118:L118, C129:L129 = MIN(C129:L129))), """"))"),"Dan")</f>
        <v>Dan</v>
      </c>
      <c r="Q125" s="4"/>
    </row>
    <row r="126">
      <c r="A126" s="1" t="s">
        <v>83</v>
      </c>
      <c r="B126" s="2"/>
      <c r="C126" s="27">
        <f t="shared" ref="C126:L126" si="38">IF(OR(C121="",C124=""),"",C113+COUNTIF(C124,"L"))</f>
        <v>2</v>
      </c>
      <c r="D126" s="27">
        <f t="shared" si="38"/>
        <v>2</v>
      </c>
      <c r="E126" s="27">
        <f t="shared" si="38"/>
        <v>6</v>
      </c>
      <c r="F126" s="27">
        <f t="shared" si="38"/>
        <v>7</v>
      </c>
      <c r="G126" s="27">
        <f t="shared" si="38"/>
        <v>2</v>
      </c>
      <c r="H126" s="27">
        <f t="shared" si="38"/>
        <v>6</v>
      </c>
      <c r="I126" s="27">
        <f t="shared" si="38"/>
        <v>5</v>
      </c>
      <c r="J126" s="27">
        <f t="shared" si="38"/>
        <v>6</v>
      </c>
      <c r="K126" s="27">
        <f t="shared" si="38"/>
        <v>3</v>
      </c>
      <c r="L126" s="27">
        <f t="shared" si="38"/>
        <v>5</v>
      </c>
      <c r="M126" s="2"/>
      <c r="N126" s="3" t="s">
        <v>84</v>
      </c>
      <c r="O126" s="12" t="str">
        <f>IFERROR(__xludf.DUMMYFUNCTION("IF(COUNTA(C121:L121) = 0, """", IFERROR(TEXTJOIN("", "", TRUE, FILTER(C118:L118, C121:L121 = MAX(C121:L121))), """"))"),"Hunter")</f>
        <v>Hunter</v>
      </c>
      <c r="P126" s="4" t="str">
        <f>IFERROR(__xludf.DUMMYFUNCTION("IF(COUNTA(C121:L121) = 0, """", IFERROR(TEXTJOIN("", "", TRUE, FILTER(C118:L118, C128:L128 = MAX(C128:L128))), """"))"),"Jake")</f>
        <v>Jake</v>
      </c>
      <c r="Q126" s="4"/>
    </row>
    <row r="127">
      <c r="A127" s="3" t="s">
        <v>85</v>
      </c>
      <c r="B127" s="2"/>
      <c r="C127" s="24">
        <f t="shared" ref="C127:L127" si="39">IF(OR(C121="",C124=""),"",(C125/(C125+C126)))</f>
        <v>0.8</v>
      </c>
      <c r="D127" s="24">
        <f t="shared" si="39"/>
        <v>0.8</v>
      </c>
      <c r="E127" s="24">
        <f t="shared" si="39"/>
        <v>0.4</v>
      </c>
      <c r="F127" s="24">
        <f t="shared" si="39"/>
        <v>0.3</v>
      </c>
      <c r="G127" s="24">
        <f t="shared" si="39"/>
        <v>0.8</v>
      </c>
      <c r="H127" s="24">
        <f t="shared" si="39"/>
        <v>0.4</v>
      </c>
      <c r="I127" s="24">
        <f t="shared" si="39"/>
        <v>0.5</v>
      </c>
      <c r="J127" s="24">
        <f t="shared" si="39"/>
        <v>0.4</v>
      </c>
      <c r="K127" s="24">
        <f t="shared" si="39"/>
        <v>0.7</v>
      </c>
      <c r="L127" s="24">
        <f t="shared" si="39"/>
        <v>0.5</v>
      </c>
      <c r="M127" s="14"/>
      <c r="N127" s="3" t="s">
        <v>86</v>
      </c>
      <c r="O127" s="4" t="str">
        <f>IFERROR(__xludf.DUMMYFUNCTION("IF(COUNTA(C121:L121) = 0, """", IFERROR(TEXTJOIN("", "", TRUE, FILTER(C118:L118, C121:L121 = MIN(C121:L121))), """"))"),"Tanner, Trey")</f>
        <v>Tanner, Trey</v>
      </c>
      <c r="P127" s="4" t="str">
        <f>IFERROR(__xludf.DUMMYFUNCTION("IF(COUNTA(C121:L121) = 0, """", IFERROR(TEXTJOIN("", "", TRUE, FILTER(C118:L118, C128:L128 = MIN(C128:L128))), """"))"),"Tanner")</f>
        <v>Tanner</v>
      </c>
      <c r="Q127" s="4"/>
    </row>
    <row r="128">
      <c r="A128" s="3" t="s">
        <v>87</v>
      </c>
      <c r="B128" s="2"/>
      <c r="C128" s="25">
        <f t="shared" ref="C128:L128" si="40">IF(C121="","",IF(((IF(C121 &lt;0,((-100/C121)+1),((C121/100)+1))+(IF(C115&lt;0,((-100/C115)+1),((C115/100)+1)))*(C112+C113))/(C112+C113+1))&lt;2,(-100/(((IF(C121 &lt;0,((-100/C121)+1),((C121/100)+1))+(IF(C115&lt;0,((-100/C115)+1),((C115/100)+1)))*(C112+C113))/(C112+C113+1))-1)),(((IF(C121 &lt;0,((-100/C121)+1),((C121/100)+1))+(IF(C115&lt;0,((-100/C115)+1),((C115/100)+1)))*(C112+C113))/(C112+C113+1))-1)*100))</f>
        <v>-127.9902581</v>
      </c>
      <c r="D128" s="25">
        <f t="shared" si="40"/>
        <v>-128.9714771</v>
      </c>
      <c r="E128" s="25">
        <f t="shared" si="40"/>
        <v>-130.997897</v>
      </c>
      <c r="F128" s="25">
        <f t="shared" si="40"/>
        <v>-116.1479711</v>
      </c>
      <c r="G128" s="25">
        <f t="shared" si="40"/>
        <v>-109.1834244</v>
      </c>
      <c r="H128" s="25">
        <f t="shared" si="40"/>
        <v>102.6190006</v>
      </c>
      <c r="I128" s="25">
        <f t="shared" si="40"/>
        <v>-117.875985</v>
      </c>
      <c r="J128" s="25">
        <f t="shared" si="40"/>
        <v>-144.0970076</v>
      </c>
      <c r="K128" s="25">
        <f t="shared" si="40"/>
        <v>-122.1986241</v>
      </c>
      <c r="L128" s="25">
        <f t="shared" si="40"/>
        <v>-123.466225</v>
      </c>
      <c r="M128" s="14"/>
      <c r="N128" s="4"/>
      <c r="O128" s="12"/>
      <c r="P128" s="12"/>
      <c r="Q128" s="4"/>
    </row>
    <row r="129">
      <c r="A129" s="16" t="s">
        <v>88</v>
      </c>
      <c r="B129" s="2"/>
      <c r="C129" s="26">
        <f>IFERROR(__xludf.DUMMYFUNCTION("IF(OR(C121="""",C124=""""),"""",IF(REGEXMATCH(C124,""W""),IF(C121&lt;0,((-100/C121))*10+C116,((C121/100)*10+C116)),-10+C116))"),39.33439468692696)</f>
        <v>39.33439469</v>
      </c>
      <c r="D129" s="26">
        <f>IFERROR(__xludf.DUMMYFUNCTION("IF(OR(D121="""",D124=""""),"""",IF(REGEXMATCH(D124,""W""),IF(D121&lt;0,((-100/D121))*10+D116,((D121/100)*10+D116)),-10+D116))"),40.74721558543124)</f>
        <v>40.74721559</v>
      </c>
      <c r="E129" s="26">
        <f>IFERROR(__xludf.DUMMYFUNCTION("IF(OR(E121="""",E124=""""),"""",IF(REGEXMATCH(E124,""W""),IF(E121&lt;0,((-100/E121))*10+E116,((E121/100)*10+E116)),-10+E116))"),-31.95210247841827)</f>
        <v>-31.95210248</v>
      </c>
      <c r="F129" s="26">
        <f>IFERROR(__xludf.DUMMYFUNCTION("IF(OR(F121="""",F124=""""),"""",IF(REGEXMATCH(F124,""W""),IF(F121&lt;0,((-100/F121))*10+F116,((F121/100)*10+F116)),-10+F116))"),-40.63003589948145)</f>
        <v>-40.6300359</v>
      </c>
      <c r="G129" s="26">
        <f>IFERROR(__xludf.DUMMYFUNCTION("IF(OR(G121="""",G124=""""),"""",IF(REGEXMATCH(G124,""W""),IF(G121&lt;0,((-100/G121))*10+G116,((G121/100)*10+G116)),-10+G116))"),51.57998497181282)</f>
        <v>51.57998497</v>
      </c>
      <c r="H129" s="26">
        <f>IFERROR(__xludf.DUMMYFUNCTION("IF(OR(H121="""",H124=""""),"""",IF(REGEXMATCH(H124,""W""),IF(H121&lt;0,((-100/H121))*10+H116,((H121/100)*10+H116)),-10+H116))"),-16.045787545787544)</f>
        <v>-16.04578755</v>
      </c>
      <c r="I129" s="26">
        <f>IFERROR(__xludf.DUMMYFUNCTION("IF(OR(I121="""",I124=""""),"""",IF(REGEXMATCH(I124,""W""),IF(I121&lt;0,((-100/I121))*10+I116,((I121/100)*10+I116)),-10+I116))"),-9.263178850135368)</f>
        <v>-9.26317885</v>
      </c>
      <c r="J129" s="26">
        <f>IFERROR(__xludf.DUMMYFUNCTION("IF(OR(J121="""",J124=""""),"""",IF(REGEXMATCH(J124,""W""),IF(J121&lt;0,((-100/J121))*10+J116,((J121/100)*10+J116)),-10+J116))"),-34.536807971565004)</f>
        <v>-34.53680797</v>
      </c>
      <c r="K129" s="26">
        <f>IFERROR(__xludf.DUMMYFUNCTION("IF(OR(K121="""",K124=""""),"""",IF(REGEXMATCH(K124,""W""),IF(K121&lt;0,((-100/K121))*10+K116,((K121/100)*10+K116)),-10+K116))"),27.878777504512854)</f>
        <v>27.8787775</v>
      </c>
      <c r="L129" s="26">
        <f>IFERROR(__xludf.DUMMYFUNCTION("IF(OR(L121="""",L124=""""),"""",IF(REGEXMATCH(L124,""W""),IF(L121&lt;0,((-100/L121))*10+L116,((L121/100)*10+L116)),-10+L116))"),-7.537413730940587)</f>
        <v>-7.537413731</v>
      </c>
      <c r="M129" s="14"/>
      <c r="N129" s="16" t="s">
        <v>89</v>
      </c>
      <c r="O129" s="10">
        <f>IFERROR(__xludf.DUMMYFUNCTION("IF(AND(C129="""",AND(D129="""",AND(E129="""",AND(F129="""",AND(G129="""",AND(H129="""",AND(I129="""",AND(J129="""",AND(K129="""",L129=""""))))))))),"""",(IF(C124="""",0,IF(REGEXMATCH(C124,""W""),IF(C121&lt;0,((-100/C121))*10,((C121/100)*10)),-10))+IF(D124="""&amp;""",0,IF(REGEXMATCH(D124,""W""),IF(D121&lt;0,((-100/D121))*10,((D121/100)*10)),-10))+IF(E124="""",0,IF(REGEXMATCH(E124,""W""),IF(E121&lt;0,((-100/E121))*10,((E121/100)*10)),-10))+IF(F124="""",0,IF(REGEXMATCH(F124,""W""),IF(F121&lt;0,((-100/F121))*10,((F121/100)*10)"&amp;"),-10))+IF(G124="""",0,IF(REGEXMATCH(G124,""W""),IF(G121&lt;0,((-100/G121))*10,((G121/100)*10)),-10))+IF(H124="""",0,IF(REGEXMATCH(H124,""W""),IF(H121&lt;0,((-100/H121))*10,((H121/100)*10)),-10))+IF(I124="""",0,IF(REGEXMATCH(I124,""W""),IF(I121&lt;0,((-100/I121))*"&amp;"10,((I121/100)*10)),-10))+IF(J124="""",0,IF(REGEXMATCH(J124,""W""),IF(J121&lt;0,((-100/J121))*10,((J121/100)*10)),-10))+IF(K124="""",0,IF(REGEXMATCH(K124,""W""),IF(K121&lt;0,((-100/K121))*10,((K121/100)*10)),-10))+IF(L124="""",0,IF(REGEXMATCH(L124,""W""),IF(L12"&amp;"1&lt;0,((-100/L121))*10,((L121/100)*10)),-10))))"),13.164684418229957)</f>
        <v>13.16468442</v>
      </c>
      <c r="P129" s="10">
        <f>IFERROR(__xludf.DUMMYFUNCTION("IF(AND(C129="""",AND(D129="""",AND(E129="""",AND(F129="""",AND(G129="""",AND(H129="""",AND(I129="""",AND(J129="""",AND(K129="""",L129=""""))))))))),"""",(P116+IF(C124="""",0,IF(REGEXMATCH(C124,""W""),IF(C121&lt;0,((-100/C121))*10,((C121/100)*10)),-10))+IF(D1"&amp;"24="""",0,IF(REGEXMATCH(D124,""W""),IF(D121&lt;0,((-100/D121))*10,((D121/100)*10)),-10))+IF(E124="""",0,IF(REGEXMATCH(E124,""W""),IF(E121&lt;0,((-100/E121))*10,((E121/100)*10)),-10))+IF(F124="""",0,IF(REGEXMATCH(F124,""W""),IF(F121&lt;0,((-100/F121))*10,((F121/100"&amp;")*10)),-10))+IF(G124="""",0,IF(REGEXMATCH(G124,""W""),IF(G121&lt;0,((-100/G121))*10,((G121/100)*10)),-10))+IF(H124="""",0,IF(REGEXMATCH(H124,""W""),IF(H121&lt;0,((-100/H121))*10,((H121/100)*10)),-10))+IF(I124="""",0,IF(REGEXMATCH(I124,""W""),IF(I121&lt;0,((-100/I1"&amp;"21))*10,((I121/100)*10)),-10))+IF(J124="""",0,IF(REGEXMATCH(J124,""W""),IF(J121&lt;0,((-100/J121))*10,((J121/100)*10)),-10))+IF(K124="""",0,IF(REGEXMATCH(K124,""W""),IF(K121&lt;0,((-100/K121))*10,((K121/100)*10)),-10))+IF(L124="""",0,IF(REGEXMATCH(L124,""W""),I"&amp;"F(L121&lt;0,((-100/L121))*10,((L121/100)*10)),-10))))"),19.575046272355664)</f>
        <v>19.57504627</v>
      </c>
      <c r="Q129" s="4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</row>
    <row r="131">
      <c r="A131" s="1" t="s">
        <v>329</v>
      </c>
      <c r="B131" s="2"/>
      <c r="C131" s="3" t="s">
        <v>1</v>
      </c>
      <c r="D131" s="3" t="s">
        <v>2</v>
      </c>
      <c r="E131" s="3" t="s">
        <v>3</v>
      </c>
      <c r="F131" s="3" t="s">
        <v>4</v>
      </c>
      <c r="G131" s="3" t="s">
        <v>5</v>
      </c>
      <c r="H131" s="3" t="s">
        <v>6</v>
      </c>
      <c r="I131" s="3" t="s">
        <v>7</v>
      </c>
      <c r="J131" s="3" t="s">
        <v>8</v>
      </c>
      <c r="K131" s="3" t="s">
        <v>9</v>
      </c>
      <c r="L131" s="3" t="s">
        <v>10</v>
      </c>
      <c r="M131" s="2"/>
      <c r="N131" s="4"/>
      <c r="O131" s="3" t="s">
        <v>11</v>
      </c>
      <c r="P131" s="4"/>
      <c r="Q131" s="4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</row>
    <row r="133">
      <c r="A133" s="3" t="s">
        <v>12</v>
      </c>
      <c r="B133" s="2"/>
      <c r="C133" s="5" t="s">
        <v>308</v>
      </c>
      <c r="D133" s="5" t="s">
        <v>549</v>
      </c>
      <c r="E133" s="19" t="s">
        <v>550</v>
      </c>
      <c r="F133" s="5" t="s">
        <v>109</v>
      </c>
      <c r="G133" s="5" t="s">
        <v>551</v>
      </c>
      <c r="H133" s="5" t="s">
        <v>552</v>
      </c>
      <c r="I133" s="5" t="s">
        <v>553</v>
      </c>
      <c r="J133" s="5" t="s">
        <v>554</v>
      </c>
      <c r="K133" s="5" t="s">
        <v>104</v>
      </c>
      <c r="L133" s="5" t="s">
        <v>555</v>
      </c>
      <c r="M133" s="2"/>
      <c r="N133" s="3" t="s">
        <v>13</v>
      </c>
      <c r="O133" s="7">
        <f>IF(AND(C134="",AND(D134="",AND(E134="",AND(F134="",AND(G134="",AND(H134="",AND(I134="",AND(J134="",AND(K134="",L134=""))))))))),"",IF(((IF(C134="",1,IF(C134&gt;0,(C134/100)+1,(100/((-1)*C134))+1)))*(IF(D134="",1,IF(D134&gt;0,(D134/100)+1,(100/((-1)*D134))+1)))*(IF(E134="",1,IF(E134&gt;0,(E134/100)+1,(100/((-1)*E134))+1)))*(IF(F134="",1,IF(F134&gt;0,(F134/100)+1,(100/((-1)*F134))+1)))*(IF(G134="",1,IF(G134&gt;0,(G134/100)+1,(100/((-1)*G134))+1)))*(IF(H134="",1,IF(H134&gt;0,(H134/100)+1,(100/((-1)*H134))+1)))*(IF(I134="",1,IF(I134&gt;0,(I134/100)+1,(100/((-1)*I134))+1)))*(IF(J134="",1,IF(J134&gt;0,(J134/100)+1,(100/((-1)*J134))+1)))*(IF(K134="",1,IF(K134&gt;0,(K134/100)+1,(100/((-1)*K134))+1)))*(IF(L134="",1,IF(L134&gt;0,(L134/100)+1,(100/((-1)*L134))+1))))&lt;2,((-100)/(((IF(C134="",1,IF(C134&gt;0,(C134/100)+1,(100/((-1)*C134))+1)))*(IF(D134="",1,IF(D134&gt;0,(D134/100)+1,(100/((-1)*D134))+1)))*(IF(E134="",1,IF(E134&gt;0,(E134/100)+1,(100/((-1)*E134))+1)))*(IF(F134="",1,IF(F134&gt;0,(F134/100)+1,(100/((-1)*F134))+1)))*(IF(G134="",1,IF(G134&gt;0,(G134/100)+1,(100/((-1)*G134))+1)))*(IF(H134="",1,IF(H134&gt;0,(H134/100)+1,(100/((-1)*H134))+1)))*(IF(I134="",1,IF(I134&gt;0,(I134/100)+1,(100/((-1)*I134))+1)))*(IF(J134="",1,IF(J134&gt;0,(J134/100)+1,(100/((-1)*J134))+1)))*(IF(K134="",1,IF(K134&gt;0,(K134/100)+1,(100/((-1)*K134))+1)))*(IF(L134="",1,IF(L134&gt;0,(L134/100)+1,(100/((-1)*L134))+1))))-1)),((((IF(C134="",1,IF(C134&gt;0,(C134/100)+1,(100/((-1)*C134))+1)))*(IF(D134="",1,IF(D134&gt;0,(D134/100)+1,(100/((-1)*D134))+1)))*(IF(E134="",1,IF(E134&gt;0,(E134/100)+1,(100/((-1)*E134))+1)))*(IF(F134="",1,IF(F134&gt;0,(F134/100)+1,(100/((-1)*F134))+1)))*(IF(G134="",1,IF(G134&gt;0,(G134/100)+1,(100/((-1)*G134))+1)))*(IF(H134="",1,IF(H134&gt;0,(H134/100)+1,(100/((-1)*H134))+1)))*(IF(I134="",1,IF(I134&gt;0,(I134/100)+1,(100/((-1)*I134))+1)))*(IF(J134="",1,IF(J134&gt;0,(J134/100)+1,(100/((-1)*J134))+1)))*(IF(K134="",1,IF(K134&gt;0,(K134/100)+1,(100/((-1)*K134))+1)))*(IF(L134="",1,IF(L134&gt;0,(L134/100)+1,(100/((-1)*L134))+1))))-1)*(100))))</f>
        <v>48646.94528</v>
      </c>
      <c r="P133" s="4"/>
      <c r="Q133" s="8" t="s">
        <v>35</v>
      </c>
    </row>
    <row r="134">
      <c r="A134" s="3" t="s">
        <v>13</v>
      </c>
      <c r="B134" s="2"/>
      <c r="C134" s="5">
        <v>-175.0</v>
      </c>
      <c r="D134" s="5">
        <v>-109.0</v>
      </c>
      <c r="E134" s="5">
        <v>-125.0</v>
      </c>
      <c r="F134" s="5">
        <v>125.0</v>
      </c>
      <c r="G134" s="5">
        <v>150.0</v>
      </c>
      <c r="H134" s="5">
        <v>-159.0</v>
      </c>
      <c r="I134" s="5">
        <v>-185.0</v>
      </c>
      <c r="J134" s="5">
        <v>-145.0</v>
      </c>
      <c r="K134" s="5">
        <v>-130.0</v>
      </c>
      <c r="L134" s="5">
        <v>113.0</v>
      </c>
      <c r="M134" s="2">
        <v>10.0</v>
      </c>
      <c r="N134" s="3" t="s">
        <v>36</v>
      </c>
      <c r="O134" s="10">
        <f>IF(AND(C134="",AND(D134="",AND(E134="",AND(F134="",AND(G134="",AND(H134="",AND(I134="",AND(J134="",AND(K134="",L134=""))))))))),"",10+IF((IF(((IF(C134="",1,IF(C134&gt;0,(C134/100)+1,(100/((-1)*C134))+1)))*(IF(D134="",1,IF(D134&gt;0,(D134/100)+1,(100/((-1)*D134))+1)))*(IF(E134="",1,IF(E134&gt;0,(E134/100)+1,(100/((-1)*E134))+1)))*(IF(F134="",1,IF(F134&gt;0,(F134/100)+1,(100/((-1)*F134))+1)))*(IF(G134="",1,IF(G134&gt;0,(G134/100)+1,(100/((-1)*G134))+1)))*(IF(H134="",1,IF(H134&gt;0,(H134/100)+1,(100/((-1)*H134))+1)))*(IF(I134="",1,IF(I134&gt;0,(I134/100)+1,(100/((-1)*I134))+1)))*(IF(J134="",1,IF(J134&gt;0,(J134/100)+1,(100/((-1)*J134))+1)))*(IF(K134="",1,IF(K134&gt;0,(K134/100)+1,(100/((-1)*K134))+1)))*(IF(L134="",1,IF(L134&gt;0,(L134/100)+1,(100/((-1)*L134))+1))))&lt;2,((-100)/(((IF(C134="",1,IF(C134&gt;0,(C134/100)+1,(100/((-1)*C134))+1)))*(IF(D134="",1,IF(D134&gt;0,(D134/100)+1,(100/((-1)*D134))+1)))*(IF(E134="",1,IF(E134&gt;0,(E134/100)+1,(100/((-1)*E134))+1)))*(IF(F134="",1,IF(F134&gt;0,(F134/100)+1,(100/((-1)*F134))+1)))*(IF(G134="",1,IF(G134&gt;0,(G134/100)+1,(100/((-1)*G134))+1)))*(IF(H134="",1,IF(H134&gt;0,(H134/100)+1,(100/((-1)*H134))+1)))*(IF(I134="",1,IF(I134&gt;0,(I134/100)+1,(100/((-1)*I134))+1)))*(IF(J134="",1,IF(J134&gt;0,(J134/100)+1,(100/((-1)*J134))+1)))*(IF(K134="",1,IF(K134&gt;0,(K134/100)+1,(100/((-1)*K134))+1)))*(IF(L134="",1,IF(L134&gt;0,(L134/100)+1,(100/((-1)*L134))+1))))-1)),((((IF(C134="",1,IF(C134&gt;0,(C134/100)+1,(100/((-1)*C134))+1)))*(IF(D134="",1,IF(D134&gt;0,(D134/100)+1,(100/((-1)*D134))+1)))*(IF(E134="",1,IF(E134&gt;0,(E134/100)+1,(100/((-1)*E134))+1)))*(IF(F134="",1,IF(F134&gt;0,(F134/100)+1,(100/((-1)*F134))+1)))*(IF(G134="",1,IF(G134&gt;0,(G134/100)+1,(100/((-1)*G134))+1)))*(IF(H134="",1,IF(H134&gt;0,(H134/100)+1,(100/((-1)*H134))+1)))*(IF(I134="",1,IF(I134&gt;0,(I134/100)+1,(100/((-1)*I134))+1)))*(IF(J134="",1,IF(J134&gt;0,(J134/100)+1,(100/((-1)*J134))+1)))*(IF(K134="",1,IF(K134&gt;0,(K134/100)+1,(100/((-1)*K134))+1)))*(IF(L134="",1,IF(L134&gt;0,(L134/100)+1,(100/((-1)*L134))+1))))-1)*(100))))&lt;0,(((-100)/((IF(((IF(C134="",1,IF(C134&gt;0,(C134/100)+1,(100/((-1)*C134))+1)))*(IF(D134="",1,IF(D134&gt;0,(D134/100)+1,(100/((-1)*D134))+1)))*(IF(E134="",1,IF(E134&gt;0,(E134/100)+1,(100/((-1)*E134))+1)))*(IF(F134="",1,IF(F134&gt;0,(F134/100)+1,(100/((-1)*F134))+1)))*(IF(G134="",1,IF(G134&gt;0,(G134/100)+1,(100/((-1)*G134))+1)))*(IF(H134="",1,IF(H134&gt;0,(H134/100)+1,(100/((-1)*H134))+1)))*(IF(I134="",1,IF(I134&gt;0,(I134/100)+1,(100/((-1)*I134))+1)))*(IF(J134="",1,IF(J134&gt;0,(J134/100)+1,(100/((-1)*J134))+1)))*(IF(K134="",1,IF(K134&gt;0,(K134/100)+1,(100/((-1)*K134))+1)))*(IF(L134="",1,IF(L134&gt;0,(L134/100)+1,(100/((-1)*L134))+1))))&lt;2,((-100)/(((IF(C134="",1,IF(C134&gt;0,(C134/100)+1,(100/((-1)*C134))+1)))*(IF(D134="",1,IF(D134&gt;0,(D134/100)+1,(100/((-1)*D134))+1)))*(IF(E134="",1,IF(E134&gt;0,(E134/100)+1,(100/((-1)*E134))+1)))*(IF(F134="",1,IF(F134&gt;0,(F134/100)+1,(100/((-1)*F134))+1)))*(IF(G134="",1,IF(G134&gt;0,(G134/100)+1,(100/((-1)*G134))+1)))*(IF(H134="",1,IF(H134&gt;0,(H134/100)+1,(100/((-1)*H134))+1)))*(IF(I134="",1,IF(I134&gt;0,(I134/100)+1,(100/((-1)*I134))+1)))*(IF(J134="",1,IF(J134&gt;0,(J134/100)+1,(100/((-1)*J134))+1)))*(IF(K134="",1,IF(K134&gt;0,(K134/100)+1,(100/((-1)*K134))+1)))*(IF(L134="",1,IF(L134&gt;0,(L134/100)+1,(100/((-1)*L134))+1))))-1)),((((IF(C134="",1,IF(C134&gt;0,(C134/100)+1,(100/((-1)*C134))+1)))*(IF(D134="",1,IF(D134&gt;0,(D134/100)+1,(100/((-1)*D134))+1)))*(IF(E134="",1,IF(E134&gt;0,(E134/100)+1,(100/((-1)*E134))+1)))*(IF(F134="",1,IF(F134&gt;0,(F134/100)+1,(100/((-1)*F134))+1)))*(IF(G134="",1,IF(G134&gt;0,(G134/100)+1,(100/((-1)*G134))+1)))*(IF(H134="",1,IF(H134&gt;0,(H134/100)+1,(100/((-1)*H134))+1)))*(IF(I134="",1,IF(I134&gt;0,(I134/100)+1,(100/((-1)*I134))+1)))*(IF(J134="",1,IF(J134&gt;0,(J134/100)+1,(100/((-1)*J134))+1)))*(IF(K134="",1,IF(K134&gt;0,(K134/100)+1,(100/((-1)*K134))+1)))*(IF(L134="",1,IF(L134&gt;0,(L134/100)+1,(100/((-1)*L134))+1))))-1)*(100))))))*10),(((IF(((IF(C134="",1,IF(C134&gt;0,(C134/100)+1,(100/((-1)*C134))+1)))*(IF(D134="",1,IF(D134&gt;0,(D134/100)+1,(100/((-1)*D134))+1)))*(IF(E134="",1,IF(E134&gt;0,(E134/100)+1,(100/((-1)*E134))+1)))*(IF(F134="",1,IF(F134&gt;0,(F134/100)+1,(100/((-1)*F134))+1)))*(IF(G134="",1,IF(G134&gt;0,(G134/100)+1,(100/((-1)*G134))+1)))*(IF(H134="",1,IF(H134&gt;0,(H134/100)+1,(100/((-1)*H134))+1)))*(IF(I134="",1,IF(I134&gt;0,(I134/100)+1,(100/((-1)*I134))+1)))*(IF(J134="",1,IF(J134&gt;0,(J134/100)+1,(100/((-1)*J134))+1)))*(IF(K134="",1,IF(K134&gt;0,(K134/100)+1,(100/((-1)*K134))+1)))*(IF(L134="",1,IF(L134&gt;0,(L134/100)+1,(100/((-1)*L134))+1))))&lt;2,((-100)/(((IF(C134="",1,IF(C134&gt;0,(C134/100)+1,(100/((-1)*C134))+1)))*(IF(D134="",1,IF(D134&gt;0,(D134/100)+1,(100/((-1)*D134))+1)))*(IF(E134="",1,IF(E134&gt;0,(E134/100)+1,(100/((-1)*E134))+1)))*(IF(F134="",1,IF(F134&gt;0,(F134/100)+1,(100/((-1)*F134))+1)))*(IF(G134="",1,IF(G134&gt;0,(G134/100)+1,(100/((-1)*G134))+1)))*(IF(H134="",1,IF(H134&gt;0,(H134/100)+1,(100/((-1)*H134))+1)))*(IF(I134="",1,IF(I134&gt;0,(I134/100)+1,(100/((-1)*I134))+1)))*(IF(J134="",1,IF(J134&gt;0,(J134/100)+1,(100/((-1)*J134))+1)))*(IF(K134="",1,IF(K134&gt;0,(K134/100)+1,(100/((-1)*K134))+1)))*(IF(L134="",1,IF(L134&gt;0,(L134/100)+1,(100/((-1)*L134))+1))))-1)),((((IF(C134="",1,IF(C134&gt;0,(C134/100)+1,(100/((-1)*C134))+1)))*(IF(D134="",1,IF(D134&gt;0,(D134/100)+1,(100/((-1)*D134))+1)))*(IF(E134="",1,IF(E134&gt;0,(E134/100)+1,(100/((-1)*E134))+1)))*(IF(F134="",1,IF(F134&gt;0,(F134/100)+1,(100/((-1)*F134))+1)))*(IF(G134="",1,IF(G134&gt;0,(G134/100)+1,(100/((-1)*G134))+1)))*(IF(H134="",1,IF(H134&gt;0,(H134/100)+1,(100/((-1)*H134))+1)))*(IF(I134="",1,IF(I134&gt;0,(I134/100)+1,(100/((-1)*I134))+1)))*(IF(J134="",1,IF(J134&gt;0,(J134/100)+1,(100/((-1)*J134))+1)))*(IF(K134="",1,IF(K134&gt;0,(K134/100)+1,(100/((-1)*K134))+1)))*(IF(L134="",1,IF(L134&gt;0,(L134/100)+1,(100/((-1)*L134))+1))))-1)*(100))))/100)*10)))</f>
        <v>4874.694528</v>
      </c>
      <c r="P134" s="4"/>
      <c r="Q134" s="4"/>
    </row>
    <row r="135">
      <c r="A135" s="3" t="s">
        <v>37</v>
      </c>
      <c r="B135" s="2"/>
      <c r="C135" s="5" t="s">
        <v>564</v>
      </c>
      <c r="D135" s="5" t="s">
        <v>565</v>
      </c>
      <c r="E135" s="5" t="s">
        <v>538</v>
      </c>
      <c r="F135" s="5" t="s">
        <v>566</v>
      </c>
      <c r="G135" s="5" t="s">
        <v>567</v>
      </c>
      <c r="H135" s="5" t="s">
        <v>568</v>
      </c>
      <c r="I135" s="5" t="s">
        <v>569</v>
      </c>
      <c r="J135" s="5" t="s">
        <v>570</v>
      </c>
      <c r="K135" s="5" t="s">
        <v>571</v>
      </c>
      <c r="L135" s="5" t="s">
        <v>572</v>
      </c>
      <c r="M135" s="2"/>
      <c r="N135" s="4"/>
      <c r="O135" s="4"/>
      <c r="P135" s="4"/>
      <c r="Q135" s="4"/>
    </row>
    <row r="136">
      <c r="A136" s="3" t="s">
        <v>48</v>
      </c>
      <c r="B136" s="2"/>
      <c r="C136" s="5" t="s">
        <v>573</v>
      </c>
      <c r="D136" s="5" t="s">
        <v>574</v>
      </c>
      <c r="E136" s="5" t="s">
        <v>575</v>
      </c>
      <c r="F136" s="11">
        <v>45916.0</v>
      </c>
      <c r="G136" s="5" t="s">
        <v>576</v>
      </c>
      <c r="H136" s="5" t="s">
        <v>577</v>
      </c>
      <c r="I136" s="5" t="s">
        <v>578</v>
      </c>
      <c r="J136" s="5" t="s">
        <v>579</v>
      </c>
      <c r="K136" s="5" t="s">
        <v>580</v>
      </c>
      <c r="L136" s="5" t="s">
        <v>581</v>
      </c>
      <c r="M136" s="2"/>
      <c r="N136" s="4"/>
      <c r="O136" s="3" t="s">
        <v>56</v>
      </c>
      <c r="P136" s="3" t="s">
        <v>57</v>
      </c>
      <c r="Q136" s="4"/>
    </row>
    <row r="137">
      <c r="A137" s="3" t="s">
        <v>59</v>
      </c>
      <c r="B137" s="2"/>
      <c r="C137" s="5" t="s">
        <v>62</v>
      </c>
      <c r="D137" s="5" t="s">
        <v>62</v>
      </c>
      <c r="E137" s="5" t="s">
        <v>62</v>
      </c>
      <c r="F137" s="5" t="s">
        <v>62</v>
      </c>
      <c r="G137" s="5" t="s">
        <v>62</v>
      </c>
      <c r="H137" s="5" t="s">
        <v>60</v>
      </c>
      <c r="I137" s="5" t="s">
        <v>60</v>
      </c>
      <c r="J137" s="5" t="s">
        <v>60</v>
      </c>
      <c r="K137" s="5" t="s">
        <v>62</v>
      </c>
      <c r="L137" s="5" t="s">
        <v>62</v>
      </c>
      <c r="M137" s="2"/>
      <c r="N137" s="3" t="s">
        <v>65</v>
      </c>
      <c r="O137" s="12" t="str">
        <f>IFERROR(__xludf.DUMMYFUNCTION("IF(OR(COUNTA(C134:L134) = 0, COUNTA(C137:L137) = 0), """", IFERROR(TEXTJOIN("", "", TRUE, FILTER(C131:L131, (C137:L137 = ""W"") * (C134:L134 = MAX(FILTER(C134:L134, C137:L137 = ""W""))))), """"))"),"Tanner")</f>
        <v>Tanner</v>
      </c>
      <c r="P137" s="12" t="str">
        <f>IFERROR(__xludf.DUMMYFUNCTION("IF(COUNTA(C142:L142) = 0, """", IFERROR(TEXTJOIN("", "", TRUE, FILTER(C131:L131, C142:L142 = MAX(C142:L142))), """"))"),"Hunter")</f>
        <v>Hunter</v>
      </c>
      <c r="Q137" s="4"/>
    </row>
    <row r="138">
      <c r="A138" s="1" t="s">
        <v>81</v>
      </c>
      <c r="B138" s="2"/>
      <c r="C138" s="4">
        <f t="shared" ref="C138:L138" si="41">IF(OR(C134="",C137=""),"",C125+COUNTIF(C137,"W"))</f>
        <v>8</v>
      </c>
      <c r="D138" s="4">
        <f t="shared" si="41"/>
        <v>8</v>
      </c>
      <c r="E138" s="4">
        <f t="shared" si="41"/>
        <v>4</v>
      </c>
      <c r="F138" s="4">
        <f t="shared" si="41"/>
        <v>3</v>
      </c>
      <c r="G138" s="4">
        <f t="shared" si="41"/>
        <v>8</v>
      </c>
      <c r="H138" s="4">
        <f t="shared" si="41"/>
        <v>5</v>
      </c>
      <c r="I138" s="4">
        <f t="shared" si="41"/>
        <v>6</v>
      </c>
      <c r="J138" s="4">
        <f t="shared" si="41"/>
        <v>5</v>
      </c>
      <c r="K138" s="4">
        <f t="shared" si="41"/>
        <v>7</v>
      </c>
      <c r="L138" s="4">
        <f t="shared" si="41"/>
        <v>5</v>
      </c>
      <c r="M138" s="2"/>
      <c r="N138" s="3" t="s">
        <v>82</v>
      </c>
      <c r="O138" s="4" t="str">
        <f>IFERROR(__xludf.DUMMYFUNCTION("IF(OR(COUNTA(C134:L134) = 0, COUNTA(C137:L137) = 0), """", IFERROR(TEXTJOIN("", "", TRUE, FILTER(C131:L131, (C137:L137 = ""L"") * (C134:L134 = MIN(FILTER(C134:L134, C137:L137 = ""L""))))), """"))"),"Austin")</f>
        <v>Austin</v>
      </c>
      <c r="P138" s="12" t="str">
        <f>IFERROR(__xludf.DUMMYFUNCTION("IF(COUNTA(C142:L142) = 0, """", IFERROR(TEXTJOIN("", "", TRUE, FILTER(C131:L131, C142:L142 = MIN(C142:L142))), """"))"),"Dan")</f>
        <v>Dan</v>
      </c>
      <c r="Q138" s="4"/>
    </row>
    <row r="139">
      <c r="A139" s="1" t="s">
        <v>83</v>
      </c>
      <c r="B139" s="2"/>
      <c r="C139" s="27">
        <f t="shared" ref="C139:L139" si="42">IF(OR(C134="",C137=""),"",C126+COUNTIF(C137,"L"))</f>
        <v>3</v>
      </c>
      <c r="D139" s="27">
        <f t="shared" si="42"/>
        <v>3</v>
      </c>
      <c r="E139" s="27">
        <f t="shared" si="42"/>
        <v>7</v>
      </c>
      <c r="F139" s="27">
        <f t="shared" si="42"/>
        <v>8</v>
      </c>
      <c r="G139" s="27">
        <f t="shared" si="42"/>
        <v>3</v>
      </c>
      <c r="H139" s="27">
        <f t="shared" si="42"/>
        <v>6</v>
      </c>
      <c r="I139" s="27">
        <f t="shared" si="42"/>
        <v>5</v>
      </c>
      <c r="J139" s="27">
        <f t="shared" si="42"/>
        <v>6</v>
      </c>
      <c r="K139" s="27">
        <f t="shared" si="42"/>
        <v>4</v>
      </c>
      <c r="L139" s="27">
        <f t="shared" si="42"/>
        <v>6</v>
      </c>
      <c r="M139" s="2"/>
      <c r="N139" s="3" t="s">
        <v>84</v>
      </c>
      <c r="O139" s="12" t="str">
        <f>IFERROR(__xludf.DUMMYFUNCTION("IF(COUNTA(C134:L134) = 0, """", IFERROR(TEXTJOIN("", "", TRUE, FILTER(C131:L131, C134:L134 = MAX(C134:L134))), """"))"),"Hunter")</f>
        <v>Hunter</v>
      </c>
      <c r="P139" s="4" t="str">
        <f>IFERROR(__xludf.DUMMYFUNCTION("IF(COUNTA(C134:L134) = 0, """", IFERROR(TEXTJOIN("", "", TRUE, FILTER(C131:L131, C141:L141 = MAX(C141:L141))), """"))"),"Jake")</f>
        <v>Jake</v>
      </c>
      <c r="Q139" s="4"/>
    </row>
    <row r="140">
      <c r="A140" s="3" t="s">
        <v>85</v>
      </c>
      <c r="B140" s="2"/>
      <c r="C140" s="24">
        <f t="shared" ref="C140:L140" si="43">IF(OR(C134="",C137=""),"",(C138/(C138+C139)))</f>
        <v>0.7272727273</v>
      </c>
      <c r="D140" s="24">
        <f t="shared" si="43"/>
        <v>0.7272727273</v>
      </c>
      <c r="E140" s="24">
        <f t="shared" si="43"/>
        <v>0.3636363636</v>
      </c>
      <c r="F140" s="24">
        <f t="shared" si="43"/>
        <v>0.2727272727</v>
      </c>
      <c r="G140" s="24">
        <f t="shared" si="43"/>
        <v>0.7272727273</v>
      </c>
      <c r="H140" s="24">
        <f t="shared" si="43"/>
        <v>0.4545454545</v>
      </c>
      <c r="I140" s="24">
        <f t="shared" si="43"/>
        <v>0.5454545455</v>
      </c>
      <c r="J140" s="24">
        <f t="shared" si="43"/>
        <v>0.4545454545</v>
      </c>
      <c r="K140" s="24">
        <f t="shared" si="43"/>
        <v>0.6363636364</v>
      </c>
      <c r="L140" s="24">
        <f t="shared" si="43"/>
        <v>0.4545454545</v>
      </c>
      <c r="M140" s="14"/>
      <c r="N140" s="3" t="s">
        <v>86</v>
      </c>
      <c r="O140" s="4" t="str">
        <f>IFERROR(__xludf.DUMMYFUNCTION("IF(COUNTA(C134:L134) = 0, """", IFERROR(TEXTJOIN("", "", TRUE, FILTER(C131:L131, C134:L134 = MIN(C134:L134))), """"))"),"Nick")</f>
        <v>Nick</v>
      </c>
      <c r="P140" s="4" t="str">
        <f>IFERROR(__xludf.DUMMYFUNCTION("IF(COUNTA(C134:L134) = 0, """", IFERROR(TEXTJOIN("", "", TRUE, FILTER(C131:L131, C141:L141 = MIN(C141:L141))), """"))"),"Tanner")</f>
        <v>Tanner</v>
      </c>
      <c r="Q140" s="4"/>
    </row>
    <row r="141">
      <c r="A141" s="3" t="s">
        <v>87</v>
      </c>
      <c r="B141" s="2"/>
      <c r="C141" s="25">
        <f t="shared" ref="C141:L141" si="44">IF(C134="","",IF(((IF(C134 &lt;0,((-100/C134)+1),((C134/100)+1))+(IF(C128&lt;0,((-100/C128)+1),((C128/100)+1)))*(C125+C126))/(C125+C126+1))&lt;2,(-100/(((IF(C134 &lt;0,((-100/C134)+1),((C134/100)+1))+(IF(C128&lt;0,((-100/C128)+1),((C128/100)+1)))*(C125+C126))/(C125+C126+1))-1)),(((IF(C134 &lt;0,((-100/C134)+1),((C134/100)+1))+(IF(C128&lt;0,((-100/C128)+1),((C128/100)+1)))*(C125+C126))/(C125+C126+1))-1)*100))</f>
        <v>-131.1941028</v>
      </c>
      <c r="D141" s="25">
        <f t="shared" si="44"/>
        <v>-126.8584245</v>
      </c>
      <c r="E141" s="25">
        <f t="shared" si="44"/>
        <v>-130.4289519</v>
      </c>
      <c r="F141" s="25">
        <f t="shared" si="44"/>
        <v>-111.5651814</v>
      </c>
      <c r="G141" s="25">
        <f t="shared" si="44"/>
        <v>-103.2001484</v>
      </c>
      <c r="H141" s="25">
        <f t="shared" si="44"/>
        <v>-101.0023948</v>
      </c>
      <c r="I141" s="25">
        <f t="shared" si="44"/>
        <v>-121.8967208</v>
      </c>
      <c r="J141" s="25">
        <f t="shared" si="44"/>
        <v>-144.1786328</v>
      </c>
      <c r="K141" s="25">
        <f t="shared" si="44"/>
        <v>-122.8689365</v>
      </c>
      <c r="L141" s="25">
        <f t="shared" si="44"/>
        <v>-119.1845907</v>
      </c>
      <c r="M141" s="14"/>
      <c r="N141" s="4"/>
      <c r="O141" s="12"/>
      <c r="P141" s="12"/>
      <c r="Q141" s="4"/>
    </row>
    <row r="142">
      <c r="A142" s="16" t="s">
        <v>88</v>
      </c>
      <c r="B142" s="2"/>
      <c r="C142" s="26">
        <f>IFERROR(__xludf.DUMMYFUNCTION("IF(OR(C134="""",C137=""""),"""",IF(REGEXMATCH(C137,""W""),IF(C134&lt;0,((-100/C134))*10+C129,((C134/100)*10+C129)),-10+C129))"),29.334394686926963)</f>
        <v>29.33439469</v>
      </c>
      <c r="D142" s="26">
        <f>IFERROR(__xludf.DUMMYFUNCTION("IF(OR(D134="""",D137=""""),"""",IF(REGEXMATCH(D137,""W""),IF(D134&lt;0,((-100/D134))*10+D129,((D134/100)*10+D129)),-10+D129))"),30.747215585431242)</f>
        <v>30.74721559</v>
      </c>
      <c r="E142" s="26">
        <f>IFERROR(__xludf.DUMMYFUNCTION("IF(OR(E134="""",E137=""""),"""",IF(REGEXMATCH(E137,""W""),IF(E134&lt;0,((-100/E134))*10+E129,((E134/100)*10+E129)),-10+E129))"),-41.95210247841827)</f>
        <v>-41.95210248</v>
      </c>
      <c r="F142" s="26">
        <f>IFERROR(__xludf.DUMMYFUNCTION("IF(OR(F134="""",F137=""""),"""",IF(REGEXMATCH(F137,""W""),IF(F134&lt;0,((-100/F134))*10+F129,((F134/100)*10+F129)),-10+F129))"),-50.63003589948145)</f>
        <v>-50.6300359</v>
      </c>
      <c r="G142" s="26">
        <f>IFERROR(__xludf.DUMMYFUNCTION("IF(OR(G134="""",G137=""""),"""",IF(REGEXMATCH(G137,""W""),IF(G134&lt;0,((-100/G134))*10+G129,((G134/100)*10+G129)),-10+G129))"),41.57998497181282)</f>
        <v>41.57998497</v>
      </c>
      <c r="H142" s="26">
        <f>IFERROR(__xludf.DUMMYFUNCTION("IF(OR(H134="""",H137=""""),"""",IF(REGEXMATCH(H137,""W""),IF(H134&lt;0,((-100/H134))*10+H129,((H134/100)*10+H129)),-10+H129))"),-9.756479369686915)</f>
        <v>-9.75647937</v>
      </c>
      <c r="I142" s="26">
        <f>IFERROR(__xludf.DUMMYFUNCTION("IF(OR(I134="""",I137=""""),"""",IF(REGEXMATCH(I137,""W""),IF(I134&lt;0,((-100/I134))*10+I129,((I134/100)*10+I129)),-10+I129))"),-3.857773444729963)</f>
        <v>-3.857773445</v>
      </c>
      <c r="J142" s="26">
        <f>IFERROR(__xludf.DUMMYFUNCTION("IF(OR(J134="""",J137=""""),"""",IF(REGEXMATCH(J137,""W""),IF(J134&lt;0,((-100/J134))*10+J129,((J134/100)*10+J129)),-10+J129))"),-27.64025624742707)</f>
        <v>-27.64025625</v>
      </c>
      <c r="K142" s="26">
        <f>IFERROR(__xludf.DUMMYFUNCTION("IF(OR(K134="""",K137=""""),"""",IF(REGEXMATCH(K137,""W""),IF(K134&lt;0,((-100/K134))*10+K129,((K134/100)*10+K129)),-10+K129))"),17.878777504512854)</f>
        <v>17.8787775</v>
      </c>
      <c r="L142" s="26">
        <f>IFERROR(__xludf.DUMMYFUNCTION("IF(OR(L134="""",L137=""""),"""",IF(REGEXMATCH(L137,""W""),IF(L134&lt;0,((-100/L134))*10+L129,((L134/100)*10+L129)),-10+L129))"),-17.537413730940585)</f>
        <v>-17.53741373</v>
      </c>
      <c r="M142" s="14"/>
      <c r="N142" s="16" t="s">
        <v>89</v>
      </c>
      <c r="O142" s="10">
        <f>IFERROR(__xludf.DUMMYFUNCTION("IF(AND(C142="""",AND(D142="""",AND(E142="""",AND(F142="""",AND(G142="""",AND(H142="""",AND(I142="""",AND(J142="""",AND(K142="""",L142=""""))))))))),"""",(IF(C137="""",0,IF(REGEXMATCH(C137,""W""),IF(C134&lt;0,((-100/C134))*10,((C134/100)*10)),-10))+IF(D137="""&amp;""",0,IF(REGEXMATCH(D137,""W""),IF(D134&lt;0,((-100/D134))*10,((D134/100)*10)),-10))+IF(E137="""",0,IF(REGEXMATCH(E137,""W""),IF(E134&lt;0,((-100/E134))*10,((E134/100)*10)),-10))+IF(F137="""",0,IF(REGEXMATCH(F137,""W""),IF(F134&lt;0,((-100/F134))*10,((F134/100)*10)"&amp;"),-10))+IF(G137="""",0,IF(REGEXMATCH(G137,""W""),IF(G134&lt;0,((-100/G134))*10,((G134/100)*10)),-10))+IF(H137="""",0,IF(REGEXMATCH(H137,""W""),IF(H134&lt;0,((-100/H134))*10,((H134/100)*10)),-10))+IF(I137="""",0,IF(REGEXMATCH(I137,""W""),IF(I134&lt;0,((-100/I134))*"&amp;"10,((I134/100)*10)),-10))+IF(J137="""",0,IF(REGEXMATCH(J137,""W""),IF(J134&lt;0,((-100/J134))*10,((J134/100)*10)),-10))+IF(K137="""",0,IF(REGEXMATCH(K137,""W""),IF(K134&lt;0,((-100/K134))*10,((K134/100)*10)),-10))+IF(L137="""",0,IF(REGEXMATCH(L137,""W""),IF(L13"&amp;"4&lt;0,((-100/L134))*10,((L134/100)*10)),-10))))"),-51.40873469435604)</f>
        <v>-51.40873469</v>
      </c>
      <c r="P142" s="10">
        <f>IFERROR(__xludf.DUMMYFUNCTION("IF(AND(C142="""",AND(D142="""",AND(E142="""",AND(F142="""",AND(G142="""",AND(H142="""",AND(I142="""",AND(J142="""",AND(K142="""",L142=""""))))))))),"""",(P129+IF(C137="""",0,IF(REGEXMATCH(C137,""W""),IF(C134&lt;0,((-100/C134))*10,((C134/100)*10)),-10))+IF(D1"&amp;"37="""",0,IF(REGEXMATCH(D137,""W""),IF(D134&lt;0,((-100/D134))*10,((D134/100)*10)),-10))+IF(E137="""",0,IF(REGEXMATCH(E137,""W""),IF(E134&lt;0,((-100/E134))*10,((E134/100)*10)),-10))+IF(F137="""",0,IF(REGEXMATCH(F137,""W""),IF(F134&lt;0,((-100/F134))*10,((F134/100"&amp;")*10)),-10))+IF(G137="""",0,IF(REGEXMATCH(G137,""W""),IF(G134&lt;0,((-100/G134))*10,((G134/100)*10)),-10))+IF(H137="""",0,IF(REGEXMATCH(H137,""W""),IF(H134&lt;0,((-100/H134))*10,((H134/100)*10)),-10))+IF(I137="""",0,IF(REGEXMATCH(I137,""W""),IF(I134&lt;0,((-100/I1"&amp;"34))*10,((I134/100)*10)),-10))+IF(J137="""",0,IF(REGEXMATCH(J137,""W""),IF(J134&lt;0,((-100/J134))*10,((J134/100)*10)),-10))+IF(K137="""",0,IF(REGEXMATCH(K137,""W""),IF(K134&lt;0,((-100/K134))*10,((K134/100)*10)),-10))+IF(L137="""",0,IF(REGEXMATCH(L137,""W""),I"&amp;"F(L134&lt;0,((-100/L134))*10,((L134/100)*10)),-10))))"),-31.833688422000368)</f>
        <v>-31.83368842</v>
      </c>
      <c r="Q142" s="4"/>
    </row>
    <row r="143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</row>
    <row r="144">
      <c r="A144" s="1" t="s">
        <v>582</v>
      </c>
      <c r="B144" s="2"/>
      <c r="C144" s="3" t="s">
        <v>1</v>
      </c>
      <c r="D144" s="3" t="s">
        <v>2</v>
      </c>
      <c r="E144" s="3" t="s">
        <v>3</v>
      </c>
      <c r="F144" s="3" t="s">
        <v>4</v>
      </c>
      <c r="G144" s="3" t="s">
        <v>5</v>
      </c>
      <c r="H144" s="3" t="s">
        <v>6</v>
      </c>
      <c r="I144" s="3" t="s">
        <v>7</v>
      </c>
      <c r="J144" s="3" t="s">
        <v>8</v>
      </c>
      <c r="K144" s="3" t="s">
        <v>9</v>
      </c>
      <c r="L144" s="3" t="s">
        <v>10</v>
      </c>
      <c r="M144" s="2"/>
      <c r="N144" s="4"/>
      <c r="O144" s="3" t="s">
        <v>11</v>
      </c>
      <c r="P144" s="4"/>
      <c r="Q144" s="4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</row>
    <row r="146">
      <c r="A146" s="3" t="s">
        <v>12</v>
      </c>
      <c r="B146" s="2"/>
      <c r="C146" s="5" t="s">
        <v>583</v>
      </c>
      <c r="D146" s="5" t="s">
        <v>584</v>
      </c>
      <c r="E146" s="19" t="s">
        <v>552</v>
      </c>
      <c r="F146" s="5" t="s">
        <v>585</v>
      </c>
      <c r="G146" s="5" t="s">
        <v>586</v>
      </c>
      <c r="H146" s="5" t="s">
        <v>587</v>
      </c>
      <c r="I146" s="5" t="s">
        <v>588</v>
      </c>
      <c r="J146" s="5" t="s">
        <v>356</v>
      </c>
      <c r="K146" s="5" t="s">
        <v>589</v>
      </c>
      <c r="L146" s="5" t="s">
        <v>310</v>
      </c>
      <c r="M146" s="2"/>
      <c r="N146" s="3" t="s">
        <v>13</v>
      </c>
      <c r="O146" s="7">
        <f>IF(AND(C147="",AND(D147="",AND(E147="",AND(F147="",AND(G147="",AND(H147="",AND(I147="",AND(J147="",AND(K147="",L147=""))))))))),"",IF(((IF(C147="",1,IF(C147&gt;0,(C147/100)+1,(100/((-1)*C147))+1)))*(IF(D147="",1,IF(D147&gt;0,(D147/100)+1,(100/((-1)*D147))+1)))*(IF(E147="",1,IF(E147&gt;0,(E147/100)+1,(100/((-1)*E147))+1)))*(IF(F147="",1,IF(F147&gt;0,(F147/100)+1,(100/((-1)*F147))+1)))*(IF(G147="",1,IF(G147&gt;0,(G147/100)+1,(100/((-1)*G147))+1)))*(IF(H147="",1,IF(H147&gt;0,(H147/100)+1,(100/((-1)*H147))+1)))*(IF(I147="",1,IF(I147&gt;0,(I147/100)+1,(100/((-1)*I147))+1)))*(IF(J147="",1,IF(J147&gt;0,(J147/100)+1,(100/((-1)*J147))+1)))*(IF(K147="",1,IF(K147&gt;0,(K147/100)+1,(100/((-1)*K147))+1)))*(IF(L147="",1,IF(L147&gt;0,(L147/100)+1,(100/((-1)*L147))+1))))&lt;2,((-100)/(((IF(C147="",1,IF(C147&gt;0,(C147/100)+1,(100/((-1)*C147))+1)))*(IF(D147="",1,IF(D147&gt;0,(D147/100)+1,(100/((-1)*D147))+1)))*(IF(E147="",1,IF(E147&gt;0,(E147/100)+1,(100/((-1)*E147))+1)))*(IF(F147="",1,IF(F147&gt;0,(F147/100)+1,(100/((-1)*F147))+1)))*(IF(G147="",1,IF(G147&gt;0,(G147/100)+1,(100/((-1)*G147))+1)))*(IF(H147="",1,IF(H147&gt;0,(H147/100)+1,(100/((-1)*H147))+1)))*(IF(I147="",1,IF(I147&gt;0,(I147/100)+1,(100/((-1)*I147))+1)))*(IF(J147="",1,IF(J147&gt;0,(J147/100)+1,(100/((-1)*J147))+1)))*(IF(K147="",1,IF(K147&gt;0,(K147/100)+1,(100/((-1)*K147))+1)))*(IF(L147="",1,IF(L147&gt;0,(L147/100)+1,(100/((-1)*L147))+1))))-1)),((((IF(C147="",1,IF(C147&gt;0,(C147/100)+1,(100/((-1)*C147))+1)))*(IF(D147="",1,IF(D147&gt;0,(D147/100)+1,(100/((-1)*D147))+1)))*(IF(E147="",1,IF(E147&gt;0,(E147/100)+1,(100/((-1)*E147))+1)))*(IF(F147="",1,IF(F147&gt;0,(F147/100)+1,(100/((-1)*F147))+1)))*(IF(G147="",1,IF(G147&gt;0,(G147/100)+1,(100/((-1)*G147))+1)))*(IF(H147="",1,IF(H147&gt;0,(H147/100)+1,(100/((-1)*H147))+1)))*(IF(I147="",1,IF(I147&gt;0,(I147/100)+1,(100/((-1)*I147))+1)))*(IF(J147="",1,IF(J147&gt;0,(J147/100)+1,(100/((-1)*J147))+1)))*(IF(K147="",1,IF(K147&gt;0,(K147/100)+1,(100/((-1)*K147))+1)))*(IF(L147="",1,IF(L147&gt;0,(L147/100)+1,(100/((-1)*L147))+1))))-1)*(100))))</f>
        <v>28696.01807</v>
      </c>
      <c r="P146" s="4"/>
      <c r="Q146" s="8" t="s">
        <v>35</v>
      </c>
    </row>
    <row r="147">
      <c r="A147" s="3" t="s">
        <v>13</v>
      </c>
      <c r="B147" s="2"/>
      <c r="C147" s="5">
        <v>115.0</v>
      </c>
      <c r="D147" s="5">
        <v>-139.0</v>
      </c>
      <c r="E147" s="5">
        <v>-200.0</v>
      </c>
      <c r="F147" s="5">
        <v>-159.0</v>
      </c>
      <c r="G147" s="5">
        <v>-130.0</v>
      </c>
      <c r="H147" s="5">
        <v>-105.0</v>
      </c>
      <c r="I147" s="5">
        <v>-172.0</v>
      </c>
      <c r="J147" s="5">
        <v>-130.0</v>
      </c>
      <c r="K147" s="5">
        <v>-154.0</v>
      </c>
      <c r="L147" s="5">
        <v>100.0</v>
      </c>
      <c r="M147" s="2">
        <v>11.0</v>
      </c>
      <c r="N147" s="3" t="s">
        <v>36</v>
      </c>
      <c r="O147" s="10">
        <f>IF(AND(C147="",AND(D147="",AND(E147="",AND(F147="",AND(G147="",AND(H147="",AND(I147="",AND(J147="",AND(K147="",L147=""))))))))),"",10+IF((IF(((IF(C147="",1,IF(C147&gt;0,(C147/100)+1,(100/((-1)*C147))+1)))*(IF(D147="",1,IF(D147&gt;0,(D147/100)+1,(100/((-1)*D147))+1)))*(IF(E147="",1,IF(E147&gt;0,(E147/100)+1,(100/((-1)*E147))+1)))*(IF(F147="",1,IF(F147&gt;0,(F147/100)+1,(100/((-1)*F147))+1)))*(IF(G147="",1,IF(G147&gt;0,(G147/100)+1,(100/((-1)*G147))+1)))*(IF(H147="",1,IF(H147&gt;0,(H147/100)+1,(100/((-1)*H147))+1)))*(IF(I147="",1,IF(I147&gt;0,(I147/100)+1,(100/((-1)*I147))+1)))*(IF(J147="",1,IF(J147&gt;0,(J147/100)+1,(100/((-1)*J147))+1)))*(IF(K147="",1,IF(K147&gt;0,(K147/100)+1,(100/((-1)*K147))+1)))*(IF(L147="",1,IF(L147&gt;0,(L147/100)+1,(100/((-1)*L147))+1))))&lt;2,((-100)/(((IF(C147="",1,IF(C147&gt;0,(C147/100)+1,(100/((-1)*C147))+1)))*(IF(D147="",1,IF(D147&gt;0,(D147/100)+1,(100/((-1)*D147))+1)))*(IF(E147="",1,IF(E147&gt;0,(E147/100)+1,(100/((-1)*E147))+1)))*(IF(F147="",1,IF(F147&gt;0,(F147/100)+1,(100/((-1)*F147))+1)))*(IF(G147="",1,IF(G147&gt;0,(G147/100)+1,(100/((-1)*G147))+1)))*(IF(H147="",1,IF(H147&gt;0,(H147/100)+1,(100/((-1)*H147))+1)))*(IF(I147="",1,IF(I147&gt;0,(I147/100)+1,(100/((-1)*I147))+1)))*(IF(J147="",1,IF(J147&gt;0,(J147/100)+1,(100/((-1)*J147))+1)))*(IF(K147="",1,IF(K147&gt;0,(K147/100)+1,(100/((-1)*K147))+1)))*(IF(L147="",1,IF(L147&gt;0,(L147/100)+1,(100/((-1)*L147))+1))))-1)),((((IF(C147="",1,IF(C147&gt;0,(C147/100)+1,(100/((-1)*C147))+1)))*(IF(D147="",1,IF(D147&gt;0,(D147/100)+1,(100/((-1)*D147))+1)))*(IF(E147="",1,IF(E147&gt;0,(E147/100)+1,(100/((-1)*E147))+1)))*(IF(F147="",1,IF(F147&gt;0,(F147/100)+1,(100/((-1)*F147))+1)))*(IF(G147="",1,IF(G147&gt;0,(G147/100)+1,(100/((-1)*G147))+1)))*(IF(H147="",1,IF(H147&gt;0,(H147/100)+1,(100/((-1)*H147))+1)))*(IF(I147="",1,IF(I147&gt;0,(I147/100)+1,(100/((-1)*I147))+1)))*(IF(J147="",1,IF(J147&gt;0,(J147/100)+1,(100/((-1)*J147))+1)))*(IF(K147="",1,IF(K147&gt;0,(K147/100)+1,(100/((-1)*K147))+1)))*(IF(L147="",1,IF(L147&gt;0,(L147/100)+1,(100/((-1)*L147))+1))))-1)*(100))))&lt;0,(((-100)/((IF(((IF(C147="",1,IF(C147&gt;0,(C147/100)+1,(100/((-1)*C147))+1)))*(IF(D147="",1,IF(D147&gt;0,(D147/100)+1,(100/((-1)*D147))+1)))*(IF(E147="",1,IF(E147&gt;0,(E147/100)+1,(100/((-1)*E147))+1)))*(IF(F147="",1,IF(F147&gt;0,(F147/100)+1,(100/((-1)*F147))+1)))*(IF(G147="",1,IF(G147&gt;0,(G147/100)+1,(100/((-1)*G147))+1)))*(IF(H147="",1,IF(H147&gt;0,(H147/100)+1,(100/((-1)*H147))+1)))*(IF(I147="",1,IF(I147&gt;0,(I147/100)+1,(100/((-1)*I147))+1)))*(IF(J147="",1,IF(J147&gt;0,(J147/100)+1,(100/((-1)*J147))+1)))*(IF(K147="",1,IF(K147&gt;0,(K147/100)+1,(100/((-1)*K147))+1)))*(IF(L147="",1,IF(L147&gt;0,(L147/100)+1,(100/((-1)*L147))+1))))&lt;2,((-100)/(((IF(C147="",1,IF(C147&gt;0,(C147/100)+1,(100/((-1)*C147))+1)))*(IF(D147="",1,IF(D147&gt;0,(D147/100)+1,(100/((-1)*D147))+1)))*(IF(E147="",1,IF(E147&gt;0,(E147/100)+1,(100/((-1)*E147))+1)))*(IF(F147="",1,IF(F147&gt;0,(F147/100)+1,(100/((-1)*F147))+1)))*(IF(G147="",1,IF(G147&gt;0,(G147/100)+1,(100/((-1)*G147))+1)))*(IF(H147="",1,IF(H147&gt;0,(H147/100)+1,(100/((-1)*H147))+1)))*(IF(I147="",1,IF(I147&gt;0,(I147/100)+1,(100/((-1)*I147))+1)))*(IF(J147="",1,IF(J147&gt;0,(J147/100)+1,(100/((-1)*J147))+1)))*(IF(K147="",1,IF(K147&gt;0,(K147/100)+1,(100/((-1)*K147))+1)))*(IF(L147="",1,IF(L147&gt;0,(L147/100)+1,(100/((-1)*L147))+1))))-1)),((((IF(C147="",1,IF(C147&gt;0,(C147/100)+1,(100/((-1)*C147))+1)))*(IF(D147="",1,IF(D147&gt;0,(D147/100)+1,(100/((-1)*D147))+1)))*(IF(E147="",1,IF(E147&gt;0,(E147/100)+1,(100/((-1)*E147))+1)))*(IF(F147="",1,IF(F147&gt;0,(F147/100)+1,(100/((-1)*F147))+1)))*(IF(G147="",1,IF(G147&gt;0,(G147/100)+1,(100/((-1)*G147))+1)))*(IF(H147="",1,IF(H147&gt;0,(H147/100)+1,(100/((-1)*H147))+1)))*(IF(I147="",1,IF(I147&gt;0,(I147/100)+1,(100/((-1)*I147))+1)))*(IF(J147="",1,IF(J147&gt;0,(J147/100)+1,(100/((-1)*J147))+1)))*(IF(K147="",1,IF(K147&gt;0,(K147/100)+1,(100/((-1)*K147))+1)))*(IF(L147="",1,IF(L147&gt;0,(L147/100)+1,(100/((-1)*L147))+1))))-1)*(100))))))*10),(((IF(((IF(C147="",1,IF(C147&gt;0,(C147/100)+1,(100/((-1)*C147))+1)))*(IF(D147="",1,IF(D147&gt;0,(D147/100)+1,(100/((-1)*D147))+1)))*(IF(E147="",1,IF(E147&gt;0,(E147/100)+1,(100/((-1)*E147))+1)))*(IF(F147="",1,IF(F147&gt;0,(F147/100)+1,(100/((-1)*F147))+1)))*(IF(G147="",1,IF(G147&gt;0,(G147/100)+1,(100/((-1)*G147))+1)))*(IF(H147="",1,IF(H147&gt;0,(H147/100)+1,(100/((-1)*H147))+1)))*(IF(I147="",1,IF(I147&gt;0,(I147/100)+1,(100/((-1)*I147))+1)))*(IF(J147="",1,IF(J147&gt;0,(J147/100)+1,(100/((-1)*J147))+1)))*(IF(K147="",1,IF(K147&gt;0,(K147/100)+1,(100/((-1)*K147))+1)))*(IF(L147="",1,IF(L147&gt;0,(L147/100)+1,(100/((-1)*L147))+1))))&lt;2,((-100)/(((IF(C147="",1,IF(C147&gt;0,(C147/100)+1,(100/((-1)*C147))+1)))*(IF(D147="",1,IF(D147&gt;0,(D147/100)+1,(100/((-1)*D147))+1)))*(IF(E147="",1,IF(E147&gt;0,(E147/100)+1,(100/((-1)*E147))+1)))*(IF(F147="",1,IF(F147&gt;0,(F147/100)+1,(100/((-1)*F147))+1)))*(IF(G147="",1,IF(G147&gt;0,(G147/100)+1,(100/((-1)*G147))+1)))*(IF(H147="",1,IF(H147&gt;0,(H147/100)+1,(100/((-1)*H147))+1)))*(IF(I147="",1,IF(I147&gt;0,(I147/100)+1,(100/((-1)*I147))+1)))*(IF(J147="",1,IF(J147&gt;0,(J147/100)+1,(100/((-1)*J147))+1)))*(IF(K147="",1,IF(K147&gt;0,(K147/100)+1,(100/((-1)*K147))+1)))*(IF(L147="",1,IF(L147&gt;0,(L147/100)+1,(100/((-1)*L147))+1))))-1)),((((IF(C147="",1,IF(C147&gt;0,(C147/100)+1,(100/((-1)*C147))+1)))*(IF(D147="",1,IF(D147&gt;0,(D147/100)+1,(100/((-1)*D147))+1)))*(IF(E147="",1,IF(E147&gt;0,(E147/100)+1,(100/((-1)*E147))+1)))*(IF(F147="",1,IF(F147&gt;0,(F147/100)+1,(100/((-1)*F147))+1)))*(IF(G147="",1,IF(G147&gt;0,(G147/100)+1,(100/((-1)*G147))+1)))*(IF(H147="",1,IF(H147&gt;0,(H147/100)+1,(100/((-1)*H147))+1)))*(IF(I147="",1,IF(I147&gt;0,(I147/100)+1,(100/((-1)*I147))+1)))*(IF(J147="",1,IF(J147&gt;0,(J147/100)+1,(100/((-1)*J147))+1)))*(IF(K147="",1,IF(K147&gt;0,(K147/100)+1,(100/((-1)*K147))+1)))*(IF(L147="",1,IF(L147&gt;0,(L147/100)+1,(100/((-1)*L147))+1))))-1)*(100))))/100)*10)))</f>
        <v>2879.601807</v>
      </c>
      <c r="P147" s="4"/>
      <c r="Q147" s="4"/>
    </row>
    <row r="148">
      <c r="A148" s="3" t="s">
        <v>37</v>
      </c>
      <c r="B148" s="2"/>
      <c r="C148" s="5" t="s">
        <v>614</v>
      </c>
      <c r="D148" s="5" t="s">
        <v>615</v>
      </c>
      <c r="E148" s="5" t="s">
        <v>616</v>
      </c>
      <c r="F148" s="5" t="s">
        <v>617</v>
      </c>
      <c r="G148" s="5" t="s">
        <v>313</v>
      </c>
      <c r="H148" s="5" t="s">
        <v>618</v>
      </c>
      <c r="I148" s="5" t="s">
        <v>619</v>
      </c>
      <c r="J148" s="5" t="s">
        <v>620</v>
      </c>
      <c r="K148" s="5" t="s">
        <v>318</v>
      </c>
      <c r="L148" s="5" t="s">
        <v>621</v>
      </c>
      <c r="M148" s="2"/>
      <c r="N148" s="4"/>
      <c r="O148" s="4"/>
      <c r="P148" s="4"/>
      <c r="Q148" s="4"/>
    </row>
    <row r="149">
      <c r="A149" s="3" t="s">
        <v>48</v>
      </c>
      <c r="B149" s="2"/>
      <c r="C149" s="5" t="s">
        <v>622</v>
      </c>
      <c r="D149" s="11">
        <v>45831.0</v>
      </c>
      <c r="E149" s="5" t="s">
        <v>623</v>
      </c>
      <c r="F149" s="5" t="s">
        <v>624</v>
      </c>
      <c r="G149" s="5" t="s">
        <v>623</v>
      </c>
      <c r="H149" s="5" t="s">
        <v>625</v>
      </c>
      <c r="I149" s="5" t="s">
        <v>626</v>
      </c>
      <c r="J149" s="5" t="s">
        <v>264</v>
      </c>
      <c r="K149" s="5" t="s">
        <v>627</v>
      </c>
      <c r="L149" s="5" t="s">
        <v>494</v>
      </c>
      <c r="M149" s="2"/>
      <c r="N149" s="4"/>
      <c r="O149" s="3" t="s">
        <v>56</v>
      </c>
      <c r="P149" s="3" t="s">
        <v>57</v>
      </c>
      <c r="Q149" s="4"/>
    </row>
    <row r="150">
      <c r="A150" s="3" t="s">
        <v>59</v>
      </c>
      <c r="B150" s="2"/>
      <c r="C150" s="5" t="s">
        <v>60</v>
      </c>
      <c r="D150" s="5" t="s">
        <v>62</v>
      </c>
      <c r="E150" s="5" t="s">
        <v>60</v>
      </c>
      <c r="F150" s="5" t="s">
        <v>62</v>
      </c>
      <c r="G150" s="5" t="s">
        <v>62</v>
      </c>
      <c r="H150" s="5" t="s">
        <v>62</v>
      </c>
      <c r="I150" s="5" t="s">
        <v>62</v>
      </c>
      <c r="J150" s="5" t="s">
        <v>62</v>
      </c>
      <c r="K150" s="5" t="s">
        <v>60</v>
      </c>
      <c r="L150" s="5" t="s">
        <v>62</v>
      </c>
      <c r="M150" s="2"/>
      <c r="N150" s="3" t="s">
        <v>65</v>
      </c>
      <c r="O150" s="12" t="str">
        <f>IFERROR(__xludf.DUMMYFUNCTION("IF(OR(COUNTA(C147:L147) = 0, COUNTA(C150:L150) = 0), """", IFERROR(TEXTJOIN("", "", TRUE, FILTER(C144:L144, (C150:L150 = ""W"") * (C147:L147 = MAX(FILTER(C147:L147, C150:L150 = ""W""))))), """"))"),"Austin")</f>
        <v>Austin</v>
      </c>
      <c r="P150" s="12" t="str">
        <f>IFERROR(__xludf.DUMMYFUNCTION("IF(COUNTA(C155:L155) = 0, """", IFERROR(TEXTJOIN("", "", TRUE, FILTER(C144:L144, C155:L155 = MAX(C155:L155))), """"))"),"Austin")</f>
        <v>Austin</v>
      </c>
      <c r="Q150" s="4"/>
    </row>
    <row r="151">
      <c r="A151" s="1" t="s">
        <v>81</v>
      </c>
      <c r="B151" s="2"/>
      <c r="C151" s="4">
        <f t="shared" ref="C151:L151" si="45">IF(OR(C147="",C150=""),"",C138+COUNTIF(C150,"W"))</f>
        <v>9</v>
      </c>
      <c r="D151" s="4">
        <f t="shared" si="45"/>
        <v>8</v>
      </c>
      <c r="E151" s="4">
        <f t="shared" si="45"/>
        <v>5</v>
      </c>
      <c r="F151" s="4">
        <f t="shared" si="45"/>
        <v>3</v>
      </c>
      <c r="G151" s="4">
        <f t="shared" si="45"/>
        <v>8</v>
      </c>
      <c r="H151" s="4">
        <f t="shared" si="45"/>
        <v>5</v>
      </c>
      <c r="I151" s="4">
        <f t="shared" si="45"/>
        <v>6</v>
      </c>
      <c r="J151" s="4">
        <f t="shared" si="45"/>
        <v>5</v>
      </c>
      <c r="K151" s="4">
        <f t="shared" si="45"/>
        <v>8</v>
      </c>
      <c r="L151" s="4">
        <f t="shared" si="45"/>
        <v>5</v>
      </c>
      <c r="M151" s="2"/>
      <c r="N151" s="3" t="s">
        <v>82</v>
      </c>
      <c r="O151" s="4" t="str">
        <f>IFERROR(__xludf.DUMMYFUNCTION("IF(OR(COUNTA(C147:L147) = 0, COUNTA(C150:L150) = 0), """", IFERROR(TEXTJOIN("", "", TRUE, FILTER(C144:L144, (C150:L150 = ""L"") * (C147:L147 = MIN(FILTER(C147:L147, C150:L150 = ""L""))))), """"))"),"Nick")</f>
        <v>Nick</v>
      </c>
      <c r="P151" s="12" t="str">
        <f>IFERROR(__xludf.DUMMYFUNCTION("IF(COUNTA(C155:L155) = 0, """", IFERROR(TEXTJOIN("", "", TRUE, FILTER(C144:L144, C155:L155 = MIN(C155:L155))), """"))"),"Dan")</f>
        <v>Dan</v>
      </c>
      <c r="Q151" s="4"/>
    </row>
    <row r="152">
      <c r="A152" s="1" t="s">
        <v>83</v>
      </c>
      <c r="B152" s="2"/>
      <c r="C152" s="27">
        <f t="shared" ref="C152:L152" si="46">IF(OR(C147="",C150=""),"",C139+COUNTIF(C150,"L"))</f>
        <v>3</v>
      </c>
      <c r="D152" s="27">
        <f t="shared" si="46"/>
        <v>4</v>
      </c>
      <c r="E152" s="27">
        <f t="shared" si="46"/>
        <v>7</v>
      </c>
      <c r="F152" s="27">
        <f t="shared" si="46"/>
        <v>9</v>
      </c>
      <c r="G152" s="27">
        <f t="shared" si="46"/>
        <v>4</v>
      </c>
      <c r="H152" s="27">
        <f t="shared" si="46"/>
        <v>7</v>
      </c>
      <c r="I152" s="27">
        <f t="shared" si="46"/>
        <v>6</v>
      </c>
      <c r="J152" s="27">
        <f t="shared" si="46"/>
        <v>7</v>
      </c>
      <c r="K152" s="27">
        <f t="shared" si="46"/>
        <v>4</v>
      </c>
      <c r="L152" s="27">
        <f t="shared" si="46"/>
        <v>7</v>
      </c>
      <c r="M152" s="2"/>
      <c r="N152" s="3" t="s">
        <v>84</v>
      </c>
      <c r="O152" s="12" t="str">
        <f>IFERROR(__xludf.DUMMYFUNCTION("IF(COUNTA(C147:L147) = 0, """", IFERROR(TEXTJOIN("", "", TRUE, FILTER(C144:L144, C147:L147 = MAX(C147:L147))), """"))"),"Austin")</f>
        <v>Austin</v>
      </c>
      <c r="P152" s="4" t="str">
        <f>IFERROR(__xludf.DUMMYFUNCTION("IF(COUNTA(C147:L147) = 0, """", IFERROR(TEXTJOIN("", "", TRUE, FILTER(C144:L144, C154:L154 = MAX(C154:L154))), """"))"),"Jake")</f>
        <v>Jake</v>
      </c>
      <c r="Q152" s="4"/>
    </row>
    <row r="153">
      <c r="A153" s="3" t="s">
        <v>85</v>
      </c>
      <c r="B153" s="2"/>
      <c r="C153" s="24">
        <f t="shared" ref="C153:L153" si="47">IF(OR(C147="",C150=""),"",(C151/(C151+C152)))</f>
        <v>0.75</v>
      </c>
      <c r="D153" s="24">
        <f t="shared" si="47"/>
        <v>0.6666666667</v>
      </c>
      <c r="E153" s="24">
        <f t="shared" si="47"/>
        <v>0.4166666667</v>
      </c>
      <c r="F153" s="24">
        <f t="shared" si="47"/>
        <v>0.25</v>
      </c>
      <c r="G153" s="24">
        <f t="shared" si="47"/>
        <v>0.6666666667</v>
      </c>
      <c r="H153" s="24">
        <f t="shared" si="47"/>
        <v>0.4166666667</v>
      </c>
      <c r="I153" s="24">
        <f t="shared" si="47"/>
        <v>0.5</v>
      </c>
      <c r="J153" s="24">
        <f t="shared" si="47"/>
        <v>0.4166666667</v>
      </c>
      <c r="K153" s="24">
        <f t="shared" si="47"/>
        <v>0.6666666667</v>
      </c>
      <c r="L153" s="24">
        <f t="shared" si="47"/>
        <v>0.4166666667</v>
      </c>
      <c r="M153" s="14"/>
      <c r="N153" s="3" t="s">
        <v>86</v>
      </c>
      <c r="O153" s="4" t="str">
        <f>IFERROR(__xludf.DUMMYFUNCTION("IF(COUNTA(C147:L147) = 0, """", IFERROR(TEXTJOIN("", "", TRUE, FILTER(C144:L144, C147:L147 = MIN(C147:L147))), """"))"),"Clayton")</f>
        <v>Clayton</v>
      </c>
      <c r="P153" s="4" t="str">
        <f>IFERROR(__xludf.DUMMYFUNCTION("IF(COUNTA(C147:L147) = 0, """", IFERROR(TEXTJOIN("", "", TRUE, FILTER(C144:L144, C154:L154 = MIN(C154:L154))), """"))"),"Tanner")</f>
        <v>Tanner</v>
      </c>
      <c r="Q153" s="4"/>
    </row>
    <row r="154">
      <c r="A154" s="3" t="s">
        <v>87</v>
      </c>
      <c r="B154" s="2"/>
      <c r="C154" s="25">
        <f t="shared" ref="C154:L154" si="48">IF(C147="","",IF(((IF(C147 &lt;0,((-100/C147)+1),((C147/100)+1))+(IF(C141&lt;0,((-100/C141)+1),((C141/100)+1)))*(C138+C139))/(C138+C139+1))&lt;2,(-100/(((IF(C147 &lt;0,((-100/C147)+1),((C147/100)+1))+(IF(C141&lt;0,((-100/C141)+1),((C141/100)+1)))*(C138+C139))/(C138+C139+1))-1)),(((IF(C147 &lt;0,((-100/C147)+1),((C147/100)+1))+(IF(C141&lt;0,((-100/C141)+1),((C141/100)+1)))*(C138+C139))/(C138+C139+1))-1)*100))</f>
        <v>-125.8584172</v>
      </c>
      <c r="D154" s="25">
        <f t="shared" si="48"/>
        <v>-127.7886134</v>
      </c>
      <c r="E154" s="25">
        <f t="shared" si="48"/>
        <v>-134.3226895</v>
      </c>
      <c r="F154" s="25">
        <f t="shared" si="48"/>
        <v>-114.4095183</v>
      </c>
      <c r="G154" s="25">
        <f t="shared" si="48"/>
        <v>-105.0040542</v>
      </c>
      <c r="H154" s="25">
        <f t="shared" si="48"/>
        <v>-101.3238653</v>
      </c>
      <c r="I154" s="25">
        <f t="shared" si="48"/>
        <v>-124.9293616</v>
      </c>
      <c r="J154" s="25">
        <f t="shared" si="48"/>
        <v>-142.8800153</v>
      </c>
      <c r="K154" s="25">
        <f t="shared" si="48"/>
        <v>-124.9742291</v>
      </c>
      <c r="L154" s="25">
        <f t="shared" si="48"/>
        <v>-117.3091507</v>
      </c>
      <c r="M154" s="14"/>
      <c r="N154" s="4"/>
      <c r="O154" s="12"/>
      <c r="P154" s="12"/>
      <c r="Q154" s="4"/>
    </row>
    <row r="155">
      <c r="A155" s="16" t="s">
        <v>88</v>
      </c>
      <c r="B155" s="2"/>
      <c r="C155" s="26">
        <f>IFERROR(__xludf.DUMMYFUNCTION("IF(OR(C147="""",C150=""""),"""",IF(REGEXMATCH(C150,""W""),IF(C147&lt;0,((-100/C147))*10+C142,((C147/100)*10+C142)),-10+C142))"),40.83439468692696)</f>
        <v>40.83439469</v>
      </c>
      <c r="D155" s="26">
        <f>IFERROR(__xludf.DUMMYFUNCTION("IF(OR(D147="""",D150=""""),"""",IF(REGEXMATCH(D150,""W""),IF(D147&lt;0,((-100/D147))*10+D142,((D147/100)*10+D142)),-10+D142))"),20.747215585431242)</f>
        <v>20.74721559</v>
      </c>
      <c r="E155" s="26">
        <f>IFERROR(__xludf.DUMMYFUNCTION("IF(OR(E147="""",E150=""""),"""",IF(REGEXMATCH(E150,""W""),IF(E147&lt;0,((-100/E147))*10+E142,((E147/100)*10+E142)),-10+E142))"),-36.95210247841827)</f>
        <v>-36.95210248</v>
      </c>
      <c r="F155" s="26">
        <f>IFERROR(__xludf.DUMMYFUNCTION("IF(OR(F147="""",F150=""""),"""",IF(REGEXMATCH(F150,""W""),IF(F147&lt;0,((-100/F147))*10+F142,((F147/100)*10+F142)),-10+F142))"),-60.63003589948145)</f>
        <v>-60.6300359</v>
      </c>
      <c r="G155" s="26">
        <f>IFERROR(__xludf.DUMMYFUNCTION("IF(OR(G147="""",G150=""""),"""",IF(REGEXMATCH(G150,""W""),IF(G147&lt;0,((-100/G147))*10+G142,((G147/100)*10+G142)),-10+G142))"),31.57998497181282)</f>
        <v>31.57998497</v>
      </c>
      <c r="H155" s="26">
        <f>IFERROR(__xludf.DUMMYFUNCTION("IF(OR(H147="""",H150=""""),"""",IF(REGEXMATCH(H150,""W""),IF(H147&lt;0,((-100/H147))*10+H142,((H147/100)*10+H142)),-10+H142))"),-19.756479369686915)</f>
        <v>-19.75647937</v>
      </c>
      <c r="I155" s="26">
        <f>IFERROR(__xludf.DUMMYFUNCTION("IF(OR(I147="""",I150=""""),"""",IF(REGEXMATCH(I150,""W""),IF(I147&lt;0,((-100/I147))*10+I142,((I147/100)*10+I142)),-10+I142))"),-13.857773444729963)</f>
        <v>-13.85777344</v>
      </c>
      <c r="J155" s="26">
        <f>IFERROR(__xludf.DUMMYFUNCTION("IF(OR(J147="""",J150=""""),"""",IF(REGEXMATCH(J150,""W""),IF(J147&lt;0,((-100/J147))*10+J142,((J147/100)*10+J142)),-10+J142))"),-37.640256247427075)</f>
        <v>-37.64025625</v>
      </c>
      <c r="K155" s="26">
        <f>IFERROR(__xludf.DUMMYFUNCTION("IF(OR(K147="""",K150=""""),"""",IF(REGEXMATCH(K150,""W""),IF(K147&lt;0,((-100/K147))*10+K142,((K147/100)*10+K142)),-10+K142))"),24.37228399801935)</f>
        <v>24.372284</v>
      </c>
      <c r="L155" s="26">
        <f>IFERROR(__xludf.DUMMYFUNCTION("IF(OR(L147="""",L150=""""),"""",IF(REGEXMATCH(L150,""W""),IF(L147&lt;0,((-100/L147))*10+L142,((L147/100)*10+L142)),-10+L142))"),-27.537413730940585)</f>
        <v>-27.53741373</v>
      </c>
      <c r="M155" s="14"/>
      <c r="N155" s="16" t="s">
        <v>89</v>
      </c>
      <c r="O155" s="10">
        <f>IFERROR(__xludf.DUMMYFUNCTION("IF(AND(C155="""",AND(D155="""",AND(E155="""",AND(F155="""",AND(G155="""",AND(H155="""",AND(I155="""",AND(J155="""",AND(K155="""",L155=""""))))))))),"""",(IF(C150="""",0,IF(REGEXMATCH(C150,""W""),IF(C147&lt;0,((-100/C147))*10,((C147/100)*10)),-10))+IF(D150="""&amp;""",0,IF(REGEXMATCH(D150,""W""),IF(D147&lt;0,((-100/D147))*10,((D147/100)*10)),-10))+IF(E150="""",0,IF(REGEXMATCH(E150,""W""),IF(E147&lt;0,((-100/E147))*10,((E147/100)*10)),-10))+IF(F150="""",0,IF(REGEXMATCH(F150,""W""),IF(F147&lt;0,((-100/F147))*10,((F147/100)*10)"&amp;"),-10))+IF(G150="""",0,IF(REGEXMATCH(G150,""W""),IF(G147&lt;0,((-100/G147))*10,((G147/100)*10)),-10))+IF(H150="""",0,IF(REGEXMATCH(H150,""W""),IF(H147&lt;0,((-100/H147))*10,((H147/100)*10)),-10))+IF(I150="""",0,IF(REGEXMATCH(I150,""W""),IF(I147&lt;0,((-100/I147))*"&amp;"10,((I147/100)*10)),-10))+IF(J150="""",0,IF(REGEXMATCH(J150,""W""),IF(J147&lt;0,((-100/J147))*10,((J147/100)*10)),-10))+IF(K150="""",0,IF(REGEXMATCH(K150,""W""),IF(K147&lt;0,((-100/K147))*10,((K147/100)*10)),-10))+IF(L150="""",0,IF(REGEXMATCH(L150,""W""),IF(L14"&amp;"7&lt;0,((-100/L147))*10,((L147/100)*10)),-10))))"),-47.006493506493506)</f>
        <v>-47.00649351</v>
      </c>
      <c r="P155" s="10">
        <f>IFERROR(__xludf.DUMMYFUNCTION("IF(AND(C155="""",AND(D155="""",AND(E155="""",AND(F155="""",AND(G155="""",AND(H155="""",AND(I155="""",AND(J155="""",AND(K155="""",L155=""""))))))))),"""",(P142+IF(C150="""",0,IF(REGEXMATCH(C150,""W""),IF(C147&lt;0,((-100/C147))*10,((C147/100)*10)),-10))+IF(D1"&amp;"50="""",0,IF(REGEXMATCH(D150,""W""),IF(D147&lt;0,((-100/D147))*10,((D147/100)*10)),-10))+IF(E150="""",0,IF(REGEXMATCH(E150,""W""),IF(E147&lt;0,((-100/E147))*10,((E147/100)*10)),-10))+IF(F150="""",0,IF(REGEXMATCH(F150,""W""),IF(F147&lt;0,((-100/F147))*10,((F147/100"&amp;")*10)),-10))+IF(G150="""",0,IF(REGEXMATCH(G150,""W""),IF(G147&lt;0,((-100/G147))*10,((G147/100)*10)),-10))+IF(H150="""",0,IF(REGEXMATCH(H150,""W""),IF(H147&lt;0,((-100/H147))*10,((H147/100)*10)),-10))+IF(I150="""",0,IF(REGEXMATCH(I150,""W""),IF(I147&lt;0,((-100/I1"&amp;"47))*10,((I147/100)*10)),-10))+IF(J150="""",0,IF(REGEXMATCH(J150,""W""),IF(J147&lt;0,((-100/J147))*10,((J147/100)*10)),-10))+IF(K150="""",0,IF(REGEXMATCH(K150,""W""),IF(K147&lt;0,((-100/K147))*10,((K147/100)*10)),-10))+IF(L150="""",0,IF(REGEXMATCH(L150,""W""),I"&amp;"F(L147&lt;0,((-100/L147))*10,((L147/100)*10)),-10))))"),-78.84018192849388)</f>
        <v>-78.84018193</v>
      </c>
      <c r="Q155" s="4"/>
    </row>
    <row r="156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</row>
    <row r="157">
      <c r="A157" s="1" t="s">
        <v>399</v>
      </c>
      <c r="B157" s="2"/>
      <c r="C157" s="3" t="s">
        <v>1</v>
      </c>
      <c r="D157" s="3" t="s">
        <v>2</v>
      </c>
      <c r="E157" s="3" t="s">
        <v>3</v>
      </c>
      <c r="F157" s="3" t="s">
        <v>4</v>
      </c>
      <c r="G157" s="3" t="s">
        <v>5</v>
      </c>
      <c r="H157" s="3" t="s">
        <v>6</v>
      </c>
      <c r="I157" s="3" t="s">
        <v>7</v>
      </c>
      <c r="J157" s="3" t="s">
        <v>8</v>
      </c>
      <c r="K157" s="3" t="s">
        <v>9</v>
      </c>
      <c r="L157" s="3" t="s">
        <v>10</v>
      </c>
      <c r="M157" s="2"/>
      <c r="N157" s="4"/>
      <c r="O157" s="3" t="s">
        <v>11</v>
      </c>
      <c r="P157" s="4"/>
      <c r="Q157" s="4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</row>
    <row r="159">
      <c r="A159" s="3" t="s">
        <v>12</v>
      </c>
      <c r="B159" s="2"/>
      <c r="C159" s="5" t="s">
        <v>22</v>
      </c>
      <c r="D159" s="5" t="s">
        <v>628</v>
      </c>
      <c r="E159" s="19" t="s">
        <v>629</v>
      </c>
      <c r="F159" s="5" t="s">
        <v>630</v>
      </c>
      <c r="G159" s="5" t="s">
        <v>516</v>
      </c>
      <c r="H159" s="5" t="s">
        <v>631</v>
      </c>
      <c r="I159" s="5" t="s">
        <v>632</v>
      </c>
      <c r="J159" s="5" t="s">
        <v>633</v>
      </c>
      <c r="K159" s="5" t="s">
        <v>634</v>
      </c>
      <c r="L159" s="5" t="s">
        <v>635</v>
      </c>
      <c r="M159" s="2"/>
      <c r="N159" s="3" t="s">
        <v>13</v>
      </c>
      <c r="O159" s="7">
        <f>IF(AND(C160="",AND(D160="",AND(E160="",AND(F160="",AND(G160="",AND(H160="",AND(I160="",AND(J160="",AND(K160="",L160=""))))))))),"",IF(((IF(C160="",1,IF(C160&gt;0,(C160/100)+1,(100/((-1)*C160))+1)))*(IF(D160="",1,IF(D160&gt;0,(D160/100)+1,(100/((-1)*D160))+1)))*(IF(E160="",1,IF(E160&gt;0,(E160/100)+1,(100/((-1)*E160))+1)))*(IF(F160="",1,IF(F160&gt;0,(F160/100)+1,(100/((-1)*F160))+1)))*(IF(G160="",1,IF(G160&gt;0,(G160/100)+1,(100/((-1)*G160))+1)))*(IF(H160="",1,IF(H160&gt;0,(H160/100)+1,(100/((-1)*H160))+1)))*(IF(I160="",1,IF(I160&gt;0,(I160/100)+1,(100/((-1)*I160))+1)))*(IF(J160="",1,IF(J160&gt;0,(J160/100)+1,(100/((-1)*J160))+1)))*(IF(K160="",1,IF(K160&gt;0,(K160/100)+1,(100/((-1)*K160))+1)))*(IF(L160="",1,IF(L160&gt;0,(L160/100)+1,(100/((-1)*L160))+1))))&lt;2,((-100)/(((IF(C160="",1,IF(C160&gt;0,(C160/100)+1,(100/((-1)*C160))+1)))*(IF(D160="",1,IF(D160&gt;0,(D160/100)+1,(100/((-1)*D160))+1)))*(IF(E160="",1,IF(E160&gt;0,(E160/100)+1,(100/((-1)*E160))+1)))*(IF(F160="",1,IF(F160&gt;0,(F160/100)+1,(100/((-1)*F160))+1)))*(IF(G160="",1,IF(G160&gt;0,(G160/100)+1,(100/((-1)*G160))+1)))*(IF(H160="",1,IF(H160&gt;0,(H160/100)+1,(100/((-1)*H160))+1)))*(IF(I160="",1,IF(I160&gt;0,(I160/100)+1,(100/((-1)*I160))+1)))*(IF(J160="",1,IF(J160&gt;0,(J160/100)+1,(100/((-1)*J160))+1)))*(IF(K160="",1,IF(K160&gt;0,(K160/100)+1,(100/((-1)*K160))+1)))*(IF(L160="",1,IF(L160&gt;0,(L160/100)+1,(100/((-1)*L160))+1))))-1)),((((IF(C160="",1,IF(C160&gt;0,(C160/100)+1,(100/((-1)*C160))+1)))*(IF(D160="",1,IF(D160&gt;0,(D160/100)+1,(100/((-1)*D160))+1)))*(IF(E160="",1,IF(E160&gt;0,(E160/100)+1,(100/((-1)*E160))+1)))*(IF(F160="",1,IF(F160&gt;0,(F160/100)+1,(100/((-1)*F160))+1)))*(IF(G160="",1,IF(G160&gt;0,(G160/100)+1,(100/((-1)*G160))+1)))*(IF(H160="",1,IF(H160&gt;0,(H160/100)+1,(100/((-1)*H160))+1)))*(IF(I160="",1,IF(I160&gt;0,(I160/100)+1,(100/((-1)*I160))+1)))*(IF(J160="",1,IF(J160&gt;0,(J160/100)+1,(100/((-1)*J160))+1)))*(IF(K160="",1,IF(K160&gt;0,(K160/100)+1,(100/((-1)*K160))+1)))*(IF(L160="",1,IF(L160&gt;0,(L160/100)+1,(100/((-1)*L160))+1))))-1)*(100))))</f>
        <v>40887.90383</v>
      </c>
      <c r="P159" s="4"/>
      <c r="Q159" s="8" t="s">
        <v>35</v>
      </c>
    </row>
    <row r="160">
      <c r="A160" s="3" t="s">
        <v>13</v>
      </c>
      <c r="B160" s="2"/>
      <c r="C160" s="5">
        <v>102.0</v>
      </c>
      <c r="D160" s="5">
        <v>-152.0</v>
      </c>
      <c r="E160" s="5">
        <v>-185.0</v>
      </c>
      <c r="F160" s="5">
        <v>-159.0</v>
      </c>
      <c r="G160" s="5">
        <v>-145.0</v>
      </c>
      <c r="H160" s="5">
        <v>-175.0</v>
      </c>
      <c r="I160" s="5">
        <v>140.0</v>
      </c>
      <c r="J160" s="5">
        <v>110.0</v>
      </c>
      <c r="K160" s="5">
        <v>-119.0</v>
      </c>
      <c r="L160" s="5">
        <v>-102.0</v>
      </c>
      <c r="M160" s="2">
        <v>12.0</v>
      </c>
      <c r="N160" s="3" t="s">
        <v>36</v>
      </c>
      <c r="O160" s="10">
        <f>IF(AND(C160="",AND(D160="",AND(E160="",AND(F160="",AND(G160="",AND(H160="",AND(I160="",AND(J160="",AND(K160="",L160=""))))))))),"",10+IF((IF(((IF(C160="",1,IF(C160&gt;0,(C160/100)+1,(100/((-1)*C160))+1)))*(IF(D160="",1,IF(D160&gt;0,(D160/100)+1,(100/((-1)*D160))+1)))*(IF(E160="",1,IF(E160&gt;0,(E160/100)+1,(100/((-1)*E160))+1)))*(IF(F160="",1,IF(F160&gt;0,(F160/100)+1,(100/((-1)*F160))+1)))*(IF(G160="",1,IF(G160&gt;0,(G160/100)+1,(100/((-1)*G160))+1)))*(IF(H160="",1,IF(H160&gt;0,(H160/100)+1,(100/((-1)*H160))+1)))*(IF(I160="",1,IF(I160&gt;0,(I160/100)+1,(100/((-1)*I160))+1)))*(IF(J160="",1,IF(J160&gt;0,(J160/100)+1,(100/((-1)*J160))+1)))*(IF(K160="",1,IF(K160&gt;0,(K160/100)+1,(100/((-1)*K160))+1)))*(IF(L160="",1,IF(L160&gt;0,(L160/100)+1,(100/((-1)*L160))+1))))&lt;2,((-100)/(((IF(C160="",1,IF(C160&gt;0,(C160/100)+1,(100/((-1)*C160))+1)))*(IF(D160="",1,IF(D160&gt;0,(D160/100)+1,(100/((-1)*D160))+1)))*(IF(E160="",1,IF(E160&gt;0,(E160/100)+1,(100/((-1)*E160))+1)))*(IF(F160="",1,IF(F160&gt;0,(F160/100)+1,(100/((-1)*F160))+1)))*(IF(G160="",1,IF(G160&gt;0,(G160/100)+1,(100/((-1)*G160))+1)))*(IF(H160="",1,IF(H160&gt;0,(H160/100)+1,(100/((-1)*H160))+1)))*(IF(I160="",1,IF(I160&gt;0,(I160/100)+1,(100/((-1)*I160))+1)))*(IF(J160="",1,IF(J160&gt;0,(J160/100)+1,(100/((-1)*J160))+1)))*(IF(K160="",1,IF(K160&gt;0,(K160/100)+1,(100/((-1)*K160))+1)))*(IF(L160="",1,IF(L160&gt;0,(L160/100)+1,(100/((-1)*L160))+1))))-1)),((((IF(C160="",1,IF(C160&gt;0,(C160/100)+1,(100/((-1)*C160))+1)))*(IF(D160="",1,IF(D160&gt;0,(D160/100)+1,(100/((-1)*D160))+1)))*(IF(E160="",1,IF(E160&gt;0,(E160/100)+1,(100/((-1)*E160))+1)))*(IF(F160="",1,IF(F160&gt;0,(F160/100)+1,(100/((-1)*F160))+1)))*(IF(G160="",1,IF(G160&gt;0,(G160/100)+1,(100/((-1)*G160))+1)))*(IF(H160="",1,IF(H160&gt;0,(H160/100)+1,(100/((-1)*H160))+1)))*(IF(I160="",1,IF(I160&gt;0,(I160/100)+1,(100/((-1)*I160))+1)))*(IF(J160="",1,IF(J160&gt;0,(J160/100)+1,(100/((-1)*J160))+1)))*(IF(K160="",1,IF(K160&gt;0,(K160/100)+1,(100/((-1)*K160))+1)))*(IF(L160="",1,IF(L160&gt;0,(L160/100)+1,(100/((-1)*L160))+1))))-1)*(100))))&lt;0,(((-100)/((IF(((IF(C160="",1,IF(C160&gt;0,(C160/100)+1,(100/((-1)*C160))+1)))*(IF(D160="",1,IF(D160&gt;0,(D160/100)+1,(100/((-1)*D160))+1)))*(IF(E160="",1,IF(E160&gt;0,(E160/100)+1,(100/((-1)*E160))+1)))*(IF(F160="",1,IF(F160&gt;0,(F160/100)+1,(100/((-1)*F160))+1)))*(IF(G160="",1,IF(G160&gt;0,(G160/100)+1,(100/((-1)*G160))+1)))*(IF(H160="",1,IF(H160&gt;0,(H160/100)+1,(100/((-1)*H160))+1)))*(IF(I160="",1,IF(I160&gt;0,(I160/100)+1,(100/((-1)*I160))+1)))*(IF(J160="",1,IF(J160&gt;0,(J160/100)+1,(100/((-1)*J160))+1)))*(IF(K160="",1,IF(K160&gt;0,(K160/100)+1,(100/((-1)*K160))+1)))*(IF(L160="",1,IF(L160&gt;0,(L160/100)+1,(100/((-1)*L160))+1))))&lt;2,((-100)/(((IF(C160="",1,IF(C160&gt;0,(C160/100)+1,(100/((-1)*C160))+1)))*(IF(D160="",1,IF(D160&gt;0,(D160/100)+1,(100/((-1)*D160))+1)))*(IF(E160="",1,IF(E160&gt;0,(E160/100)+1,(100/((-1)*E160))+1)))*(IF(F160="",1,IF(F160&gt;0,(F160/100)+1,(100/((-1)*F160))+1)))*(IF(G160="",1,IF(G160&gt;0,(G160/100)+1,(100/((-1)*G160))+1)))*(IF(H160="",1,IF(H160&gt;0,(H160/100)+1,(100/((-1)*H160))+1)))*(IF(I160="",1,IF(I160&gt;0,(I160/100)+1,(100/((-1)*I160))+1)))*(IF(J160="",1,IF(J160&gt;0,(J160/100)+1,(100/((-1)*J160))+1)))*(IF(K160="",1,IF(K160&gt;0,(K160/100)+1,(100/((-1)*K160))+1)))*(IF(L160="",1,IF(L160&gt;0,(L160/100)+1,(100/((-1)*L160))+1))))-1)),((((IF(C160="",1,IF(C160&gt;0,(C160/100)+1,(100/((-1)*C160))+1)))*(IF(D160="",1,IF(D160&gt;0,(D160/100)+1,(100/((-1)*D160))+1)))*(IF(E160="",1,IF(E160&gt;0,(E160/100)+1,(100/((-1)*E160))+1)))*(IF(F160="",1,IF(F160&gt;0,(F160/100)+1,(100/((-1)*F160))+1)))*(IF(G160="",1,IF(G160&gt;0,(G160/100)+1,(100/((-1)*G160))+1)))*(IF(H160="",1,IF(H160&gt;0,(H160/100)+1,(100/((-1)*H160))+1)))*(IF(I160="",1,IF(I160&gt;0,(I160/100)+1,(100/((-1)*I160))+1)))*(IF(J160="",1,IF(J160&gt;0,(J160/100)+1,(100/((-1)*J160))+1)))*(IF(K160="",1,IF(K160&gt;0,(K160/100)+1,(100/((-1)*K160))+1)))*(IF(L160="",1,IF(L160&gt;0,(L160/100)+1,(100/((-1)*L160))+1))))-1)*(100))))))*10),(((IF(((IF(C160="",1,IF(C160&gt;0,(C160/100)+1,(100/((-1)*C160))+1)))*(IF(D160="",1,IF(D160&gt;0,(D160/100)+1,(100/((-1)*D160))+1)))*(IF(E160="",1,IF(E160&gt;0,(E160/100)+1,(100/((-1)*E160))+1)))*(IF(F160="",1,IF(F160&gt;0,(F160/100)+1,(100/((-1)*F160))+1)))*(IF(G160="",1,IF(G160&gt;0,(G160/100)+1,(100/((-1)*G160))+1)))*(IF(H160="",1,IF(H160&gt;0,(H160/100)+1,(100/((-1)*H160))+1)))*(IF(I160="",1,IF(I160&gt;0,(I160/100)+1,(100/((-1)*I160))+1)))*(IF(J160="",1,IF(J160&gt;0,(J160/100)+1,(100/((-1)*J160))+1)))*(IF(K160="",1,IF(K160&gt;0,(K160/100)+1,(100/((-1)*K160))+1)))*(IF(L160="",1,IF(L160&gt;0,(L160/100)+1,(100/((-1)*L160))+1))))&lt;2,((-100)/(((IF(C160="",1,IF(C160&gt;0,(C160/100)+1,(100/((-1)*C160))+1)))*(IF(D160="",1,IF(D160&gt;0,(D160/100)+1,(100/((-1)*D160))+1)))*(IF(E160="",1,IF(E160&gt;0,(E160/100)+1,(100/((-1)*E160))+1)))*(IF(F160="",1,IF(F160&gt;0,(F160/100)+1,(100/((-1)*F160))+1)))*(IF(G160="",1,IF(G160&gt;0,(G160/100)+1,(100/((-1)*G160))+1)))*(IF(H160="",1,IF(H160&gt;0,(H160/100)+1,(100/((-1)*H160))+1)))*(IF(I160="",1,IF(I160&gt;0,(I160/100)+1,(100/((-1)*I160))+1)))*(IF(J160="",1,IF(J160&gt;0,(J160/100)+1,(100/((-1)*J160))+1)))*(IF(K160="",1,IF(K160&gt;0,(K160/100)+1,(100/((-1)*K160))+1)))*(IF(L160="",1,IF(L160&gt;0,(L160/100)+1,(100/((-1)*L160))+1))))-1)),((((IF(C160="",1,IF(C160&gt;0,(C160/100)+1,(100/((-1)*C160))+1)))*(IF(D160="",1,IF(D160&gt;0,(D160/100)+1,(100/((-1)*D160))+1)))*(IF(E160="",1,IF(E160&gt;0,(E160/100)+1,(100/((-1)*E160))+1)))*(IF(F160="",1,IF(F160&gt;0,(F160/100)+1,(100/((-1)*F160))+1)))*(IF(G160="",1,IF(G160&gt;0,(G160/100)+1,(100/((-1)*G160))+1)))*(IF(H160="",1,IF(H160&gt;0,(H160/100)+1,(100/((-1)*H160))+1)))*(IF(I160="",1,IF(I160&gt;0,(I160/100)+1,(100/((-1)*I160))+1)))*(IF(J160="",1,IF(J160&gt;0,(J160/100)+1,(100/((-1)*J160))+1)))*(IF(K160="",1,IF(K160&gt;0,(K160/100)+1,(100/((-1)*K160))+1)))*(IF(L160="",1,IF(L160&gt;0,(L160/100)+1,(100/((-1)*L160))+1))))-1)*(100))))/100)*10)))</f>
        <v>4098.790383</v>
      </c>
      <c r="P160" s="4"/>
      <c r="Q160" s="4"/>
    </row>
    <row r="161">
      <c r="A161" s="3" t="s">
        <v>37</v>
      </c>
      <c r="B161" s="2"/>
      <c r="C161" s="5" t="s">
        <v>650</v>
      </c>
      <c r="D161" s="5" t="s">
        <v>651</v>
      </c>
      <c r="E161" s="5" t="s">
        <v>652</v>
      </c>
      <c r="F161" s="5" t="s">
        <v>591</v>
      </c>
      <c r="G161" s="5" t="s">
        <v>653</v>
      </c>
      <c r="H161" s="5" t="s">
        <v>654</v>
      </c>
      <c r="I161" s="5" t="s">
        <v>655</v>
      </c>
      <c r="J161" s="5" t="s">
        <v>468</v>
      </c>
      <c r="K161" s="5" t="s">
        <v>656</v>
      </c>
      <c r="L161" s="5" t="s">
        <v>657</v>
      </c>
      <c r="M161" s="2"/>
      <c r="N161" s="4"/>
      <c r="O161" s="4"/>
      <c r="P161" s="4"/>
      <c r="Q161" s="4"/>
    </row>
    <row r="162">
      <c r="A162" s="3" t="s">
        <v>48</v>
      </c>
      <c r="B162" s="2"/>
      <c r="C162" s="5" t="s">
        <v>658</v>
      </c>
      <c r="D162" s="5" t="s">
        <v>659</v>
      </c>
      <c r="E162" s="5" t="s">
        <v>660</v>
      </c>
      <c r="F162" s="5" t="s">
        <v>661</v>
      </c>
      <c r="G162" s="5" t="s">
        <v>662</v>
      </c>
      <c r="H162" s="5" t="s">
        <v>663</v>
      </c>
      <c r="I162" s="5" t="s">
        <v>182</v>
      </c>
      <c r="J162" s="5" t="s">
        <v>664</v>
      </c>
      <c r="K162" s="5" t="s">
        <v>665</v>
      </c>
      <c r="L162" s="5" t="s">
        <v>666</v>
      </c>
      <c r="M162" s="2"/>
      <c r="N162" s="4"/>
      <c r="O162" s="3" t="s">
        <v>56</v>
      </c>
      <c r="P162" s="3" t="s">
        <v>57</v>
      </c>
      <c r="Q162" s="4"/>
    </row>
    <row r="163">
      <c r="A163" s="3" t="s">
        <v>59</v>
      </c>
      <c r="B163" s="2"/>
      <c r="C163" s="5" t="s">
        <v>62</v>
      </c>
      <c r="D163" s="5" t="s">
        <v>62</v>
      </c>
      <c r="E163" s="5" t="s">
        <v>60</v>
      </c>
      <c r="F163" s="5" t="s">
        <v>60</v>
      </c>
      <c r="G163" s="5" t="s">
        <v>60</v>
      </c>
      <c r="H163" s="5" t="s">
        <v>62</v>
      </c>
      <c r="I163" s="5" t="s">
        <v>60</v>
      </c>
      <c r="J163" s="5" t="s">
        <v>62</v>
      </c>
      <c r="K163" s="5" t="s">
        <v>62</v>
      </c>
      <c r="L163" s="5" t="s">
        <v>60</v>
      </c>
      <c r="M163" s="2"/>
      <c r="N163" s="3" t="s">
        <v>65</v>
      </c>
      <c r="O163" s="12" t="str">
        <f>IFERROR(__xludf.DUMMYFUNCTION("IF(OR(COUNTA(C160:L160) = 0, COUNTA(C163:L163) = 0), """", IFERROR(TEXTJOIN("", "", TRUE, FILTER(C157:L157, (C163:L163 = ""W"") * (C160:L160 = MAX(FILTER(C160:L160, C163:L163 = ""W""))))), """"))"),"Nick")</f>
        <v>Nick</v>
      </c>
      <c r="P163" s="12" t="str">
        <f>IFERROR(__xludf.DUMMYFUNCTION("IF(COUNTA(C168:L168) = 0, """", IFERROR(TEXTJOIN("", "", TRUE, FILTER(C157:L157, C168:L168 = MAX(C168:L168))), """"))"),"Hunter")</f>
        <v>Hunter</v>
      </c>
      <c r="Q163" s="4"/>
    </row>
    <row r="164">
      <c r="A164" s="1" t="s">
        <v>81</v>
      </c>
      <c r="B164" s="2"/>
      <c r="C164" s="4">
        <f t="shared" ref="C164:L164" si="49">IF(OR(C160="",C163=""),"",C151+COUNTIF(C163,"W"))</f>
        <v>9</v>
      </c>
      <c r="D164" s="4">
        <f t="shared" si="49"/>
        <v>8</v>
      </c>
      <c r="E164" s="4">
        <f t="shared" si="49"/>
        <v>6</v>
      </c>
      <c r="F164" s="4">
        <f t="shared" si="49"/>
        <v>4</v>
      </c>
      <c r="G164" s="4">
        <f t="shared" si="49"/>
        <v>9</v>
      </c>
      <c r="H164" s="4">
        <f t="shared" si="49"/>
        <v>5</v>
      </c>
      <c r="I164" s="4">
        <f t="shared" si="49"/>
        <v>7</v>
      </c>
      <c r="J164" s="4">
        <f t="shared" si="49"/>
        <v>5</v>
      </c>
      <c r="K164" s="4">
        <f t="shared" si="49"/>
        <v>8</v>
      </c>
      <c r="L164" s="4">
        <f t="shared" si="49"/>
        <v>6</v>
      </c>
      <c r="M164" s="2"/>
      <c r="N164" s="3" t="s">
        <v>82</v>
      </c>
      <c r="O164" s="4" t="str">
        <f>IFERROR(__xludf.DUMMYFUNCTION("IF(OR(COUNTA(C160:L160) = 0, COUNTA(C163:L163) = 0), """", IFERROR(TEXTJOIN("", "", TRUE, FILTER(C157:L157, (C163:L163 = ""L"") * (C160:L160 = MIN(FILTER(C160:L160, C163:L163 = ""L""))))), """"))"),"Jake")</f>
        <v>Jake</v>
      </c>
      <c r="P164" s="12" t="str">
        <f>IFERROR(__xludf.DUMMYFUNCTION("IF(COUNTA(C168:L168) = 0, """", IFERROR(TEXTJOIN("", "", TRUE, FILTER(C157:L157, C168:L168 = MIN(C168:L168))), """"))"),"Dan")</f>
        <v>Dan</v>
      </c>
      <c r="Q164" s="4"/>
    </row>
    <row r="165">
      <c r="A165" s="1" t="s">
        <v>83</v>
      </c>
      <c r="B165" s="2"/>
      <c r="C165" s="27">
        <f t="shared" ref="C165:L165" si="50">IF(OR(C160="",C163=""),"",C152+COUNTIF(C163,"L"))</f>
        <v>4</v>
      </c>
      <c r="D165" s="27">
        <f t="shared" si="50"/>
        <v>5</v>
      </c>
      <c r="E165" s="27">
        <f t="shared" si="50"/>
        <v>7</v>
      </c>
      <c r="F165" s="27">
        <f t="shared" si="50"/>
        <v>9</v>
      </c>
      <c r="G165" s="27">
        <f t="shared" si="50"/>
        <v>4</v>
      </c>
      <c r="H165" s="27">
        <f t="shared" si="50"/>
        <v>8</v>
      </c>
      <c r="I165" s="27">
        <f t="shared" si="50"/>
        <v>6</v>
      </c>
      <c r="J165" s="27">
        <f t="shared" si="50"/>
        <v>8</v>
      </c>
      <c r="K165" s="27">
        <f t="shared" si="50"/>
        <v>5</v>
      </c>
      <c r="L165" s="27">
        <f t="shared" si="50"/>
        <v>7</v>
      </c>
      <c r="M165" s="2"/>
      <c r="N165" s="3" t="s">
        <v>84</v>
      </c>
      <c r="O165" s="12" t="str">
        <f>IFERROR(__xludf.DUMMYFUNCTION("IF(COUNTA(C160:L160) = 0, """", IFERROR(TEXTJOIN("", "", TRUE, FILTER(C157:L157, C160:L160 = MAX(C160:L160))), """"))"),"Nick")</f>
        <v>Nick</v>
      </c>
      <c r="P165" s="4" t="str">
        <f>IFERROR(__xludf.DUMMYFUNCTION("IF(COUNTA(C160:L160) = 0, """", IFERROR(TEXTJOIN("", "", TRUE, FILTER(C157:L157, C167:L167 = MAX(C167:L167))), """"))"),"Jake")</f>
        <v>Jake</v>
      </c>
      <c r="Q165" s="4"/>
    </row>
    <row r="166">
      <c r="A166" s="3" t="s">
        <v>85</v>
      </c>
      <c r="B166" s="2"/>
      <c r="C166" s="24">
        <f t="shared" ref="C166:L166" si="51">IF(OR(C160="",C163=""),"",(C164/(C164+C165)))</f>
        <v>0.6923076923</v>
      </c>
      <c r="D166" s="24">
        <f t="shared" si="51"/>
        <v>0.6153846154</v>
      </c>
      <c r="E166" s="24">
        <f t="shared" si="51"/>
        <v>0.4615384615</v>
      </c>
      <c r="F166" s="24">
        <f t="shared" si="51"/>
        <v>0.3076923077</v>
      </c>
      <c r="G166" s="24">
        <f t="shared" si="51"/>
        <v>0.6923076923</v>
      </c>
      <c r="H166" s="24">
        <f t="shared" si="51"/>
        <v>0.3846153846</v>
      </c>
      <c r="I166" s="24">
        <f t="shared" si="51"/>
        <v>0.5384615385</v>
      </c>
      <c r="J166" s="24">
        <f t="shared" si="51"/>
        <v>0.3846153846</v>
      </c>
      <c r="K166" s="24">
        <f t="shared" si="51"/>
        <v>0.6153846154</v>
      </c>
      <c r="L166" s="24">
        <f t="shared" si="51"/>
        <v>0.4615384615</v>
      </c>
      <c r="M166" s="14"/>
      <c r="N166" s="3" t="s">
        <v>86</v>
      </c>
      <c r="O166" s="4" t="str">
        <f>IFERROR(__xludf.DUMMYFUNCTION("IF(COUNTA(C160:L160) = 0, """", IFERROR(TEXTJOIN("", "", TRUE, FILTER(C157:L157, C160:L160 = MIN(C160:L160))), """"))"),"Clayton")</f>
        <v>Clayton</v>
      </c>
      <c r="P166" s="4" t="str">
        <f>IFERROR(__xludf.DUMMYFUNCTION("IF(COUNTA(C160:L160) = 0, """", IFERROR(TEXTJOIN("", "", TRUE, FILTER(C157:L157, C167:L167 = MIN(C167:L167))), """"))"),"Clayton")</f>
        <v>Clayton</v>
      </c>
      <c r="Q166" s="4"/>
    </row>
    <row r="167">
      <c r="A167" s="3" t="s">
        <v>87</v>
      </c>
      <c r="B167" s="2"/>
      <c r="C167" s="25">
        <f t="shared" ref="C167:L167" si="52">IF(C160="","",IF(((IF(C160 &lt;0,((-100/C160)+1),((C160/100)+1))+(IF(C154&lt;0,((-100/C154)+1),((C154/100)+1)))*(C151+C152))/(C151+C152+1))&lt;2,(-100/(((IF(C160 &lt;0,((-100/C160)+1),((C160/100)+1))+(IF(C154&lt;0,((-100/C154)+1),((C154/100)+1)))*(C151+C152))/(C151+C152+1))-1)),(((IF(C160 &lt;0,((-100/C160)+1),((C160/100)+1))+(IF(C154&lt;0,((-100/C154)+1),((C154/100)+1)))*(C151+C152))/(C151+C152+1))-1)*100))</f>
        <v>-123.1699409</v>
      </c>
      <c r="D167" s="25">
        <f t="shared" si="52"/>
        <v>-129.373795</v>
      </c>
      <c r="E167" s="25">
        <f t="shared" si="52"/>
        <v>-137.2140148</v>
      </c>
      <c r="F167" s="25">
        <f t="shared" si="52"/>
        <v>-116.9320418</v>
      </c>
      <c r="G167" s="25">
        <f t="shared" si="52"/>
        <v>-107.2803292</v>
      </c>
      <c r="H167" s="25">
        <f t="shared" si="52"/>
        <v>-104.715075</v>
      </c>
      <c r="I167" s="25">
        <f t="shared" si="52"/>
        <v>-118.1235286</v>
      </c>
      <c r="J167" s="25">
        <f t="shared" si="52"/>
        <v>-136.8614774</v>
      </c>
      <c r="K167" s="25">
        <f t="shared" si="52"/>
        <v>-124.4934583</v>
      </c>
      <c r="L167" s="25">
        <f t="shared" si="52"/>
        <v>-115.9702323</v>
      </c>
      <c r="M167" s="14"/>
      <c r="N167" s="4"/>
      <c r="O167" s="12"/>
      <c r="P167" s="12"/>
      <c r="Q167" s="4"/>
    </row>
    <row r="168">
      <c r="A168" s="16" t="s">
        <v>88</v>
      </c>
      <c r="B168" s="2"/>
      <c r="C168" s="26">
        <f>IFERROR(__xludf.DUMMYFUNCTION("IF(OR(C160="""",C163=""""),"""",IF(REGEXMATCH(C163,""W""),IF(C160&lt;0,((-100/C160))*10+C155,((C160/100)*10+C155)),-10+C155))"),30.834394686926963)</f>
        <v>30.83439469</v>
      </c>
      <c r="D168" s="26">
        <f>IFERROR(__xludf.DUMMYFUNCTION("IF(OR(D160="""",D163=""""),"""",IF(REGEXMATCH(D163,""W""),IF(D160&lt;0,((-100/D160))*10+D155,((D160/100)*10+D155)),-10+D155))"),10.747215585431242)</f>
        <v>10.74721559</v>
      </c>
      <c r="E168" s="26">
        <f>IFERROR(__xludf.DUMMYFUNCTION("IF(OR(E160="""",E163=""""),"""",IF(REGEXMATCH(E163,""W""),IF(E160&lt;0,((-100/E160))*10+E155,((E160/100)*10+E155)),-10+E155))"),-31.546697073012865)</f>
        <v>-31.54669707</v>
      </c>
      <c r="F168" s="26">
        <f>IFERROR(__xludf.DUMMYFUNCTION("IF(OR(F160="""",F163=""""),"""",IF(REGEXMATCH(F163,""W""),IF(F160&lt;0,((-100/F160))*10+F155,((F160/100)*10+F155)),-10+F155))"),-54.34072772338082)</f>
        <v>-54.34072772</v>
      </c>
      <c r="G168" s="26">
        <f>IFERROR(__xludf.DUMMYFUNCTION("IF(OR(G160="""",G163=""""),"""",IF(REGEXMATCH(G163,""W""),IF(G160&lt;0,((-100/G160))*10+G155,((G160/100)*10+G155)),-10+G155))"),38.47653669595075)</f>
        <v>38.4765367</v>
      </c>
      <c r="H168" s="26">
        <f>IFERROR(__xludf.DUMMYFUNCTION("IF(OR(H160="""",H163=""""),"""",IF(REGEXMATCH(H163,""W""),IF(H160&lt;0,((-100/H160))*10+H155,((H160/100)*10+H155)),-10+H155))"),-29.756479369686915)</f>
        <v>-29.75647937</v>
      </c>
      <c r="I168" s="26">
        <f>IFERROR(__xludf.DUMMYFUNCTION("IF(OR(I160="""",I163=""""),"""",IF(REGEXMATCH(I163,""W""),IF(I160&lt;0,((-100/I160))*10+I155,((I160/100)*10+I155)),-10+I155))"),0.14222655527003703)</f>
        <v>0.1422265553</v>
      </c>
      <c r="J168" s="26">
        <f>IFERROR(__xludf.DUMMYFUNCTION("IF(OR(J160="""",J163=""""),"""",IF(REGEXMATCH(J163,""W""),IF(J160&lt;0,((-100/J160))*10+J155,((J160/100)*10+J155)),-10+J155))"),-47.640256247427075)</f>
        <v>-47.64025625</v>
      </c>
      <c r="K168" s="26">
        <f>IFERROR(__xludf.DUMMYFUNCTION("IF(OR(K160="""",K163=""""),"""",IF(REGEXMATCH(K163,""W""),IF(K160&lt;0,((-100/K160))*10+K155,((K160/100)*10+K155)),-10+K155))"),14.372283998019348)</f>
        <v>14.372284</v>
      </c>
      <c r="L168" s="26">
        <f>IFERROR(__xludf.DUMMYFUNCTION("IF(OR(L160="""",L163=""""),"""",IF(REGEXMATCH(L163,""W""),IF(L160&lt;0,((-100/L160))*10+L155,((L160/100)*10+L155)),-10+L155))"),-17.733492162313134)</f>
        <v>-17.73349216</v>
      </c>
      <c r="M168" s="14"/>
      <c r="N168" s="16" t="s">
        <v>89</v>
      </c>
      <c r="O168" s="10">
        <f>IFERROR(__xludf.DUMMYFUNCTION("IF(AND(C168="""",AND(D168="""",AND(E168="""",AND(F168="""",AND(G168="""",AND(H168="""",AND(I168="""",AND(J168="""",AND(K168="""",L168=""""))))))))),"""",(IF(C163="""",0,IF(REGEXMATCH(C163,""W""),IF(C160&lt;0,((-100/C160))*10,((C160/100)*10)),-10))+IF(D163="""&amp;""",0,IF(REGEXMATCH(D163,""W""),IF(D160&lt;0,((-100/D160))*10,((D160/100)*10)),-10))+IF(E163="""",0,IF(REGEXMATCH(E163,""W""),IF(E160&lt;0,((-100/E160))*10,((E160/100)*10)),-10))+IF(F163="""",0,IF(REGEXMATCH(F163,""W""),IF(F160&lt;0,((-100/F160))*10,((F160/100)*10)"&amp;"),-10))+IF(G163="""",0,IF(REGEXMATCH(G163,""W""),IF(G160&lt;0,((-100/G160))*10,((G160/100)*10)),-10))+IF(H163="""",0,IF(REGEXMATCH(H163,""W""),IF(H160&lt;0,((-100/H160))*10,((H160/100)*10)),-10))+IF(I163="""",0,IF(REGEXMATCH(I163,""W""),IF(I160&lt;0,((-100/I160))*"&amp;"10,((I160/100)*10)),-10))+IF(J163="""",0,IF(REGEXMATCH(J163,""W""),IF(J160&lt;0,((-100/J160))*10,((J160/100)*10)),-10))+IF(K163="""",0,IF(REGEXMATCH(K163,""W""),IF(K160&lt;0,((-100/K160))*10,((K160/100)*10)),-10))+IF(L163="""",0,IF(REGEXMATCH(L163,""W""),IF(L16"&amp;"0&lt;0,((-100/L160))*10,((L160/100)*10)),-10))))"),-7.604813125728585)</f>
        <v>-7.604813126</v>
      </c>
      <c r="P168" s="10">
        <f>IFERROR(__xludf.DUMMYFUNCTION("IF(AND(C168="""",AND(D168="""",AND(E168="""",AND(F168="""",AND(G168="""",AND(H168="""",AND(I168="""",AND(J168="""",AND(K168="""",L168=""""))))))))),"""",(P155+IF(C163="""",0,IF(REGEXMATCH(C163,""W""),IF(C160&lt;0,((-100/C160))*10,((C160/100)*10)),-10))+IF(D1"&amp;"63="""",0,IF(REGEXMATCH(D163,""W""),IF(D160&lt;0,((-100/D160))*10,((D160/100)*10)),-10))+IF(E163="""",0,IF(REGEXMATCH(E163,""W""),IF(E160&lt;0,((-100/E160))*10,((E160/100)*10)),-10))+IF(F163="""",0,IF(REGEXMATCH(F163,""W""),IF(F160&lt;0,((-100/F160))*10,((F160/100"&amp;")*10)),-10))+IF(G163="""",0,IF(REGEXMATCH(G163,""W""),IF(G160&lt;0,((-100/G160))*10,((G160/100)*10)),-10))+IF(H163="""",0,IF(REGEXMATCH(H163,""W""),IF(H160&lt;0,((-100/H160))*10,((H160/100)*10)),-10))+IF(I163="""",0,IF(REGEXMATCH(I163,""W""),IF(I160&lt;0,((-100/I1"&amp;"60))*10,((I160/100)*10)),-10))+IF(J163="""",0,IF(REGEXMATCH(J163,""W""),IF(J160&lt;0,((-100/J160))*10,((J160/100)*10)),-10))+IF(K163="""",0,IF(REGEXMATCH(K163,""W""),IF(K160&lt;0,((-100/K160))*10,((K160/100)*10)),-10))+IF(L163="""",0,IF(REGEXMATCH(L163,""W""),I"&amp;"F(L160&lt;0,((-100/L160))*10,((L160/100)*10)),-10))))"),-86.44499505422246)</f>
        <v>-86.44499505</v>
      </c>
      <c r="Q168" s="4"/>
    </row>
    <row r="169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</row>
    <row r="170">
      <c r="A170" s="1" t="s">
        <v>449</v>
      </c>
      <c r="B170" s="2"/>
      <c r="C170" s="3" t="s">
        <v>1</v>
      </c>
      <c r="D170" s="3" t="s">
        <v>2</v>
      </c>
      <c r="E170" s="3" t="s">
        <v>3</v>
      </c>
      <c r="F170" s="3" t="s">
        <v>4</v>
      </c>
      <c r="G170" s="3" t="s">
        <v>5</v>
      </c>
      <c r="H170" s="3" t="s">
        <v>6</v>
      </c>
      <c r="I170" s="3" t="s">
        <v>7</v>
      </c>
      <c r="J170" s="3" t="s">
        <v>8</v>
      </c>
      <c r="K170" s="3" t="s">
        <v>9</v>
      </c>
      <c r="L170" s="3" t="s">
        <v>10</v>
      </c>
      <c r="M170" s="2"/>
      <c r="N170" s="4"/>
      <c r="O170" s="3" t="s">
        <v>11</v>
      </c>
      <c r="P170" s="4"/>
      <c r="Q170" s="4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</row>
    <row r="172">
      <c r="A172" s="3" t="s">
        <v>12</v>
      </c>
      <c r="B172" s="2"/>
      <c r="C172" s="5" t="s">
        <v>668</v>
      </c>
      <c r="D172" s="5" t="s">
        <v>358</v>
      </c>
      <c r="E172" s="19" t="s">
        <v>669</v>
      </c>
      <c r="F172" s="5" t="s">
        <v>670</v>
      </c>
      <c r="G172" s="5" t="s">
        <v>671</v>
      </c>
      <c r="H172" s="5" t="s">
        <v>218</v>
      </c>
      <c r="I172" s="19" t="s">
        <v>553</v>
      </c>
      <c r="J172" s="5" t="s">
        <v>357</v>
      </c>
      <c r="K172" s="5" t="s">
        <v>672</v>
      </c>
      <c r="L172" s="5" t="s">
        <v>673</v>
      </c>
      <c r="M172" s="2"/>
      <c r="N172" s="3" t="s">
        <v>13</v>
      </c>
      <c r="O172" s="7">
        <f>IF(AND(C173="",AND(D173="",AND(E173="",AND(F173="",AND(G173="",AND(H173="",AND(I173="",AND(J173="",AND(K173="",L173=""))))))))),"",IF(((IF(C173="",1,IF(C173&gt;0,(C173/100)+1,(100/((-1)*C173))+1)))*(IF(D173="",1,IF(D173&gt;0,(D173/100)+1,(100/((-1)*D173))+1)))*(IF(E173="",1,IF(E173&gt;0,(E173/100)+1,(100/((-1)*E173))+1)))*(IF(F173="",1,IF(F173&gt;0,(F173/100)+1,(100/((-1)*F173))+1)))*(IF(G173="",1,IF(G173&gt;0,(G173/100)+1,(100/((-1)*G173))+1)))*(IF(H173="",1,IF(H173&gt;0,(H173/100)+1,(100/((-1)*H173))+1)))*(IF(I173="",1,IF(I173&gt;0,(I173/100)+1,(100/((-1)*I173))+1)))*(IF(J173="",1,IF(J173&gt;0,(J173/100)+1,(100/((-1)*J173))+1)))*(IF(K173="",1,IF(K173&gt;0,(K173/100)+1,(100/((-1)*K173))+1)))*(IF(L173="",1,IF(L173&gt;0,(L173/100)+1,(100/((-1)*L173))+1))))&lt;2,((-100)/(((IF(C173="",1,IF(C173&gt;0,(C173/100)+1,(100/((-1)*C173))+1)))*(IF(D173="",1,IF(D173&gt;0,(D173/100)+1,(100/((-1)*D173))+1)))*(IF(E173="",1,IF(E173&gt;0,(E173/100)+1,(100/((-1)*E173))+1)))*(IF(F173="",1,IF(F173&gt;0,(F173/100)+1,(100/((-1)*F173))+1)))*(IF(G173="",1,IF(G173&gt;0,(G173/100)+1,(100/((-1)*G173))+1)))*(IF(H173="",1,IF(H173&gt;0,(H173/100)+1,(100/((-1)*H173))+1)))*(IF(I173="",1,IF(I173&gt;0,(I173/100)+1,(100/((-1)*I173))+1)))*(IF(J173="",1,IF(J173&gt;0,(J173/100)+1,(100/((-1)*J173))+1)))*(IF(K173="",1,IF(K173&gt;0,(K173/100)+1,(100/((-1)*K173))+1)))*(IF(L173="",1,IF(L173&gt;0,(L173/100)+1,(100/((-1)*L173))+1))))-1)),((((IF(C173="",1,IF(C173&gt;0,(C173/100)+1,(100/((-1)*C173))+1)))*(IF(D173="",1,IF(D173&gt;0,(D173/100)+1,(100/((-1)*D173))+1)))*(IF(E173="",1,IF(E173&gt;0,(E173/100)+1,(100/((-1)*E173))+1)))*(IF(F173="",1,IF(F173&gt;0,(F173/100)+1,(100/((-1)*F173))+1)))*(IF(G173="",1,IF(G173&gt;0,(G173/100)+1,(100/((-1)*G173))+1)))*(IF(H173="",1,IF(H173&gt;0,(H173/100)+1,(100/((-1)*H173))+1)))*(IF(I173="",1,IF(I173&gt;0,(I173/100)+1,(100/((-1)*I173))+1)))*(IF(J173="",1,IF(J173&gt;0,(J173/100)+1,(100/((-1)*J173))+1)))*(IF(K173="",1,IF(K173&gt;0,(K173/100)+1,(100/((-1)*K173))+1)))*(IF(L173="",1,IF(L173&gt;0,(L173/100)+1,(100/((-1)*L173))+1))))-1)*(100))))</f>
        <v>30833.55432</v>
      </c>
      <c r="P172" s="4"/>
      <c r="Q172" s="8" t="s">
        <v>35</v>
      </c>
    </row>
    <row r="173">
      <c r="A173" s="3" t="s">
        <v>13</v>
      </c>
      <c r="B173" s="2"/>
      <c r="C173" s="5">
        <v>-109.0</v>
      </c>
      <c r="D173" s="5">
        <v>-130.0</v>
      </c>
      <c r="E173" s="5">
        <v>-112.0</v>
      </c>
      <c r="F173" s="5">
        <v>100.0</v>
      </c>
      <c r="G173" s="5">
        <v>-175.0</v>
      </c>
      <c r="H173" s="5">
        <v>-125.0</v>
      </c>
      <c r="I173" s="5">
        <v>-152.0</v>
      </c>
      <c r="J173" s="5">
        <v>-175.0</v>
      </c>
      <c r="K173" s="5">
        <v>-130.0</v>
      </c>
      <c r="L173" s="5">
        <v>-118.0</v>
      </c>
      <c r="M173" s="2">
        <v>13.0</v>
      </c>
      <c r="N173" s="3" t="s">
        <v>36</v>
      </c>
      <c r="O173" s="10">
        <f>IF(AND(C173="",AND(D173="",AND(E173="",AND(F173="",AND(G173="",AND(H173="",AND(I173="",AND(J173="",AND(K173="",L173=""))))))))),"",10+IF((IF(((IF(C173="",1,IF(C173&gt;0,(C173/100)+1,(100/((-1)*C173))+1)))*(IF(D173="",1,IF(D173&gt;0,(D173/100)+1,(100/((-1)*D173))+1)))*(IF(E173="",1,IF(E173&gt;0,(E173/100)+1,(100/((-1)*E173))+1)))*(IF(F173="",1,IF(F173&gt;0,(F173/100)+1,(100/((-1)*F173))+1)))*(IF(G173="",1,IF(G173&gt;0,(G173/100)+1,(100/((-1)*G173))+1)))*(IF(H173="",1,IF(H173&gt;0,(H173/100)+1,(100/((-1)*H173))+1)))*(IF(I173="",1,IF(I173&gt;0,(I173/100)+1,(100/((-1)*I173))+1)))*(IF(J173="",1,IF(J173&gt;0,(J173/100)+1,(100/((-1)*J173))+1)))*(IF(K173="",1,IF(K173&gt;0,(K173/100)+1,(100/((-1)*K173))+1)))*(IF(L173="",1,IF(L173&gt;0,(L173/100)+1,(100/((-1)*L173))+1))))&lt;2,((-100)/(((IF(C173="",1,IF(C173&gt;0,(C173/100)+1,(100/((-1)*C173))+1)))*(IF(D173="",1,IF(D173&gt;0,(D173/100)+1,(100/((-1)*D173))+1)))*(IF(E173="",1,IF(E173&gt;0,(E173/100)+1,(100/((-1)*E173))+1)))*(IF(F173="",1,IF(F173&gt;0,(F173/100)+1,(100/((-1)*F173))+1)))*(IF(G173="",1,IF(G173&gt;0,(G173/100)+1,(100/((-1)*G173))+1)))*(IF(H173="",1,IF(H173&gt;0,(H173/100)+1,(100/((-1)*H173))+1)))*(IF(I173="",1,IF(I173&gt;0,(I173/100)+1,(100/((-1)*I173))+1)))*(IF(J173="",1,IF(J173&gt;0,(J173/100)+1,(100/((-1)*J173))+1)))*(IF(K173="",1,IF(K173&gt;0,(K173/100)+1,(100/((-1)*K173))+1)))*(IF(L173="",1,IF(L173&gt;0,(L173/100)+1,(100/((-1)*L173))+1))))-1)),((((IF(C173="",1,IF(C173&gt;0,(C173/100)+1,(100/((-1)*C173))+1)))*(IF(D173="",1,IF(D173&gt;0,(D173/100)+1,(100/((-1)*D173))+1)))*(IF(E173="",1,IF(E173&gt;0,(E173/100)+1,(100/((-1)*E173))+1)))*(IF(F173="",1,IF(F173&gt;0,(F173/100)+1,(100/((-1)*F173))+1)))*(IF(G173="",1,IF(G173&gt;0,(G173/100)+1,(100/((-1)*G173))+1)))*(IF(H173="",1,IF(H173&gt;0,(H173/100)+1,(100/((-1)*H173))+1)))*(IF(I173="",1,IF(I173&gt;0,(I173/100)+1,(100/((-1)*I173))+1)))*(IF(J173="",1,IF(J173&gt;0,(J173/100)+1,(100/((-1)*J173))+1)))*(IF(K173="",1,IF(K173&gt;0,(K173/100)+1,(100/((-1)*K173))+1)))*(IF(L173="",1,IF(L173&gt;0,(L173/100)+1,(100/((-1)*L173))+1))))-1)*(100))))&lt;0,(((-100)/((IF(((IF(C173="",1,IF(C173&gt;0,(C173/100)+1,(100/((-1)*C173))+1)))*(IF(D173="",1,IF(D173&gt;0,(D173/100)+1,(100/((-1)*D173))+1)))*(IF(E173="",1,IF(E173&gt;0,(E173/100)+1,(100/((-1)*E173))+1)))*(IF(F173="",1,IF(F173&gt;0,(F173/100)+1,(100/((-1)*F173))+1)))*(IF(G173="",1,IF(G173&gt;0,(G173/100)+1,(100/((-1)*G173))+1)))*(IF(H173="",1,IF(H173&gt;0,(H173/100)+1,(100/((-1)*H173))+1)))*(IF(I173="",1,IF(I173&gt;0,(I173/100)+1,(100/((-1)*I173))+1)))*(IF(J173="",1,IF(J173&gt;0,(J173/100)+1,(100/((-1)*J173))+1)))*(IF(K173="",1,IF(K173&gt;0,(K173/100)+1,(100/((-1)*K173))+1)))*(IF(L173="",1,IF(L173&gt;0,(L173/100)+1,(100/((-1)*L173))+1))))&lt;2,((-100)/(((IF(C173="",1,IF(C173&gt;0,(C173/100)+1,(100/((-1)*C173))+1)))*(IF(D173="",1,IF(D173&gt;0,(D173/100)+1,(100/((-1)*D173))+1)))*(IF(E173="",1,IF(E173&gt;0,(E173/100)+1,(100/((-1)*E173))+1)))*(IF(F173="",1,IF(F173&gt;0,(F173/100)+1,(100/((-1)*F173))+1)))*(IF(G173="",1,IF(G173&gt;0,(G173/100)+1,(100/((-1)*G173))+1)))*(IF(H173="",1,IF(H173&gt;0,(H173/100)+1,(100/((-1)*H173))+1)))*(IF(I173="",1,IF(I173&gt;0,(I173/100)+1,(100/((-1)*I173))+1)))*(IF(J173="",1,IF(J173&gt;0,(J173/100)+1,(100/((-1)*J173))+1)))*(IF(K173="",1,IF(K173&gt;0,(K173/100)+1,(100/((-1)*K173))+1)))*(IF(L173="",1,IF(L173&gt;0,(L173/100)+1,(100/((-1)*L173))+1))))-1)),((((IF(C173="",1,IF(C173&gt;0,(C173/100)+1,(100/((-1)*C173))+1)))*(IF(D173="",1,IF(D173&gt;0,(D173/100)+1,(100/((-1)*D173))+1)))*(IF(E173="",1,IF(E173&gt;0,(E173/100)+1,(100/((-1)*E173))+1)))*(IF(F173="",1,IF(F173&gt;0,(F173/100)+1,(100/((-1)*F173))+1)))*(IF(G173="",1,IF(G173&gt;0,(G173/100)+1,(100/((-1)*G173))+1)))*(IF(H173="",1,IF(H173&gt;0,(H173/100)+1,(100/((-1)*H173))+1)))*(IF(I173="",1,IF(I173&gt;0,(I173/100)+1,(100/((-1)*I173))+1)))*(IF(J173="",1,IF(J173&gt;0,(J173/100)+1,(100/((-1)*J173))+1)))*(IF(K173="",1,IF(K173&gt;0,(K173/100)+1,(100/((-1)*K173))+1)))*(IF(L173="",1,IF(L173&gt;0,(L173/100)+1,(100/((-1)*L173))+1))))-1)*(100))))))*10),(((IF(((IF(C173="",1,IF(C173&gt;0,(C173/100)+1,(100/((-1)*C173))+1)))*(IF(D173="",1,IF(D173&gt;0,(D173/100)+1,(100/((-1)*D173))+1)))*(IF(E173="",1,IF(E173&gt;0,(E173/100)+1,(100/((-1)*E173))+1)))*(IF(F173="",1,IF(F173&gt;0,(F173/100)+1,(100/((-1)*F173))+1)))*(IF(G173="",1,IF(G173&gt;0,(G173/100)+1,(100/((-1)*G173))+1)))*(IF(H173="",1,IF(H173&gt;0,(H173/100)+1,(100/((-1)*H173))+1)))*(IF(I173="",1,IF(I173&gt;0,(I173/100)+1,(100/((-1)*I173))+1)))*(IF(J173="",1,IF(J173&gt;0,(J173/100)+1,(100/((-1)*J173))+1)))*(IF(K173="",1,IF(K173&gt;0,(K173/100)+1,(100/((-1)*K173))+1)))*(IF(L173="",1,IF(L173&gt;0,(L173/100)+1,(100/((-1)*L173))+1))))&lt;2,((-100)/(((IF(C173="",1,IF(C173&gt;0,(C173/100)+1,(100/((-1)*C173))+1)))*(IF(D173="",1,IF(D173&gt;0,(D173/100)+1,(100/((-1)*D173))+1)))*(IF(E173="",1,IF(E173&gt;0,(E173/100)+1,(100/((-1)*E173))+1)))*(IF(F173="",1,IF(F173&gt;0,(F173/100)+1,(100/((-1)*F173))+1)))*(IF(G173="",1,IF(G173&gt;0,(G173/100)+1,(100/((-1)*G173))+1)))*(IF(H173="",1,IF(H173&gt;0,(H173/100)+1,(100/((-1)*H173))+1)))*(IF(I173="",1,IF(I173&gt;0,(I173/100)+1,(100/((-1)*I173))+1)))*(IF(J173="",1,IF(J173&gt;0,(J173/100)+1,(100/((-1)*J173))+1)))*(IF(K173="",1,IF(K173&gt;0,(K173/100)+1,(100/((-1)*K173))+1)))*(IF(L173="",1,IF(L173&gt;0,(L173/100)+1,(100/((-1)*L173))+1))))-1)),((((IF(C173="",1,IF(C173&gt;0,(C173/100)+1,(100/((-1)*C173))+1)))*(IF(D173="",1,IF(D173&gt;0,(D173/100)+1,(100/((-1)*D173))+1)))*(IF(E173="",1,IF(E173&gt;0,(E173/100)+1,(100/((-1)*E173))+1)))*(IF(F173="",1,IF(F173&gt;0,(F173/100)+1,(100/((-1)*F173))+1)))*(IF(G173="",1,IF(G173&gt;0,(G173/100)+1,(100/((-1)*G173))+1)))*(IF(H173="",1,IF(H173&gt;0,(H173/100)+1,(100/((-1)*H173))+1)))*(IF(I173="",1,IF(I173&gt;0,(I173/100)+1,(100/((-1)*I173))+1)))*(IF(J173="",1,IF(J173&gt;0,(J173/100)+1,(100/((-1)*J173))+1)))*(IF(K173="",1,IF(K173&gt;0,(K173/100)+1,(100/((-1)*K173))+1)))*(IF(L173="",1,IF(L173&gt;0,(L173/100)+1,(100/((-1)*L173))+1))))-1)*(100))))/100)*10)))</f>
        <v>3093.355432</v>
      </c>
      <c r="P173" s="4"/>
      <c r="Q173" s="4"/>
    </row>
    <row r="174">
      <c r="A174" s="3" t="s">
        <v>37</v>
      </c>
      <c r="B174" s="2"/>
      <c r="C174" s="5" t="s">
        <v>674</v>
      </c>
      <c r="D174" s="5" t="s">
        <v>675</v>
      </c>
      <c r="E174" s="5" t="s">
        <v>676</v>
      </c>
      <c r="F174" s="5" t="s">
        <v>677</v>
      </c>
      <c r="G174" s="5" t="s">
        <v>678</v>
      </c>
      <c r="H174" s="5" t="s">
        <v>679</v>
      </c>
      <c r="I174" s="5" t="s">
        <v>680</v>
      </c>
      <c r="J174" s="5" t="s">
        <v>681</v>
      </c>
      <c r="K174" s="5" t="s">
        <v>682</v>
      </c>
      <c r="L174" s="5" t="s">
        <v>138</v>
      </c>
      <c r="M174" s="2"/>
      <c r="N174" s="4"/>
      <c r="O174" s="4"/>
      <c r="P174" s="4"/>
      <c r="Q174" s="4"/>
    </row>
    <row r="175">
      <c r="A175" s="3" t="s">
        <v>48</v>
      </c>
      <c r="B175" s="2"/>
      <c r="C175" s="5" t="s">
        <v>683</v>
      </c>
      <c r="D175" s="5" t="s">
        <v>684</v>
      </c>
      <c r="E175" s="5" t="s">
        <v>685</v>
      </c>
      <c r="F175" s="5" t="s">
        <v>686</v>
      </c>
      <c r="G175" s="5" t="s">
        <v>687</v>
      </c>
      <c r="H175" s="5" t="s">
        <v>688</v>
      </c>
      <c r="I175" s="5" t="s">
        <v>493</v>
      </c>
      <c r="J175" s="5" t="s">
        <v>147</v>
      </c>
      <c r="K175" s="5" t="s">
        <v>265</v>
      </c>
      <c r="L175" s="5" t="s">
        <v>689</v>
      </c>
      <c r="M175" s="2"/>
      <c r="N175" s="4"/>
      <c r="O175" s="3" t="s">
        <v>56</v>
      </c>
      <c r="P175" s="3" t="s">
        <v>57</v>
      </c>
      <c r="Q175" s="4"/>
    </row>
    <row r="176">
      <c r="A176" s="3" t="s">
        <v>59</v>
      </c>
      <c r="B176" s="2"/>
      <c r="C176" s="5" t="s">
        <v>62</v>
      </c>
      <c r="D176" s="5" t="s">
        <v>62</v>
      </c>
      <c r="E176" s="5" t="s">
        <v>62</v>
      </c>
      <c r="F176" s="5" t="s">
        <v>62</v>
      </c>
      <c r="G176" s="5" t="s">
        <v>62</v>
      </c>
      <c r="H176" s="5" t="s">
        <v>62</v>
      </c>
      <c r="I176" s="5" t="s">
        <v>60</v>
      </c>
      <c r="J176" s="5" t="s">
        <v>62</v>
      </c>
      <c r="K176" s="5" t="s">
        <v>62</v>
      </c>
      <c r="L176" s="5" t="s">
        <v>60</v>
      </c>
      <c r="M176" s="2"/>
      <c r="N176" s="3" t="s">
        <v>65</v>
      </c>
      <c r="O176" s="12" t="str">
        <f>IFERROR(__xludf.DUMMYFUNCTION("IF(OR(COUNTA(C173:L173) = 0, COUNTA(C176:L176) = 0), """", IFERROR(TEXTJOIN("", "", TRUE, FILTER(C170:L170, (C176:L176 = ""W"") * (C173:L173 = MAX(FILTER(C173:L173, C176:L176 = ""W""))))), """"))"),"Trey")</f>
        <v>Trey</v>
      </c>
      <c r="P176" s="12" t="str">
        <f>IFERROR(__xludf.DUMMYFUNCTION("IF(COUNTA(C181:L181) = 0, """", IFERROR(TEXTJOIN("", "", TRUE, FILTER(C170:L170, C181:L181 = MAX(C181:L181))), """"))"),"Hunter")</f>
        <v>Hunter</v>
      </c>
      <c r="Q176" s="4"/>
    </row>
    <row r="177">
      <c r="A177" s="1" t="s">
        <v>81</v>
      </c>
      <c r="B177" s="2"/>
      <c r="C177" s="4">
        <f t="shared" ref="C177:L177" si="53">IF(OR(C173="",C176=""),"",C164+COUNTIF(C176,"W"))</f>
        <v>9</v>
      </c>
      <c r="D177" s="4">
        <f t="shared" si="53"/>
        <v>8</v>
      </c>
      <c r="E177" s="4">
        <f t="shared" si="53"/>
        <v>6</v>
      </c>
      <c r="F177" s="4">
        <f t="shared" si="53"/>
        <v>4</v>
      </c>
      <c r="G177" s="4">
        <f t="shared" si="53"/>
        <v>9</v>
      </c>
      <c r="H177" s="4">
        <f t="shared" si="53"/>
        <v>5</v>
      </c>
      <c r="I177" s="4">
        <f t="shared" si="53"/>
        <v>8</v>
      </c>
      <c r="J177" s="4">
        <f t="shared" si="53"/>
        <v>5</v>
      </c>
      <c r="K177" s="4">
        <f t="shared" si="53"/>
        <v>8</v>
      </c>
      <c r="L177" s="4">
        <f t="shared" si="53"/>
        <v>7</v>
      </c>
      <c r="M177" s="2"/>
      <c r="N177" s="3" t="s">
        <v>82</v>
      </c>
      <c r="O177" s="4" t="str">
        <f>IFERROR(__xludf.DUMMYFUNCTION("IF(OR(COUNTA(C173:L173) = 0, COUNTA(C176:L176) = 0), """", IFERROR(TEXTJOIN("", "", TRUE, FILTER(C170:L170, (C176:L176 = ""L"") * (C173:L173 = MIN(FILTER(C173:L173, C176:L176 = ""L""))))), """"))"),"Hunter, Tanner")</f>
        <v>Hunter, Tanner</v>
      </c>
      <c r="P177" s="12" t="str">
        <f>IFERROR(__xludf.DUMMYFUNCTION("IF(COUNTA(C181:L181) = 0, """", IFERROR(TEXTJOIN("", "", TRUE, FILTER(C170:L170, C181:L181 = MIN(C181:L181))), """"))"),"Dan")</f>
        <v>Dan</v>
      </c>
      <c r="Q177" s="4"/>
    </row>
    <row r="178">
      <c r="A178" s="1" t="s">
        <v>83</v>
      </c>
      <c r="B178" s="2"/>
      <c r="C178" s="27">
        <f t="shared" ref="C178:L178" si="54">IF(OR(C173="",C176=""),"",C165+COUNTIF(C176,"L"))</f>
        <v>5</v>
      </c>
      <c r="D178" s="27">
        <f t="shared" si="54"/>
        <v>6</v>
      </c>
      <c r="E178" s="27">
        <f t="shared" si="54"/>
        <v>8</v>
      </c>
      <c r="F178" s="27">
        <f t="shared" si="54"/>
        <v>10</v>
      </c>
      <c r="G178" s="27">
        <f t="shared" si="54"/>
        <v>5</v>
      </c>
      <c r="H178" s="27">
        <f t="shared" si="54"/>
        <v>9</v>
      </c>
      <c r="I178" s="27">
        <f t="shared" si="54"/>
        <v>6</v>
      </c>
      <c r="J178" s="27">
        <f t="shared" si="54"/>
        <v>9</v>
      </c>
      <c r="K178" s="27">
        <f t="shared" si="54"/>
        <v>6</v>
      </c>
      <c r="L178" s="27">
        <f t="shared" si="54"/>
        <v>7</v>
      </c>
      <c r="M178" s="2"/>
      <c r="N178" s="3" t="s">
        <v>84</v>
      </c>
      <c r="O178" s="12" t="str">
        <f>IFERROR(__xludf.DUMMYFUNCTION("IF(COUNTA(C173:L173) = 0, """", IFERROR(TEXTJOIN("", "", TRUE, FILTER(C170:L170, C173:L173 = MAX(C173:L173))), """"))"),"Dan")</f>
        <v>Dan</v>
      </c>
      <c r="P178" s="4" t="str">
        <f>IFERROR(__xludf.DUMMYFUNCTION("IF(COUNTA(C173:L173) = 0, """", IFERROR(TEXTJOIN("", "", TRUE, FILTER(C170:L170, C180:L180 = MAX(C180:L180))), """"))"),"Jake")</f>
        <v>Jake</v>
      </c>
      <c r="Q178" s="4"/>
    </row>
    <row r="179">
      <c r="A179" s="3" t="s">
        <v>85</v>
      </c>
      <c r="B179" s="2"/>
      <c r="C179" s="24">
        <f t="shared" ref="C179:L179" si="55">IF(OR(C173="",C176=""),"",(C177/(C177+C178)))</f>
        <v>0.6428571429</v>
      </c>
      <c r="D179" s="24">
        <f t="shared" si="55"/>
        <v>0.5714285714</v>
      </c>
      <c r="E179" s="24">
        <f t="shared" si="55"/>
        <v>0.4285714286</v>
      </c>
      <c r="F179" s="24">
        <f t="shared" si="55"/>
        <v>0.2857142857</v>
      </c>
      <c r="G179" s="24">
        <f t="shared" si="55"/>
        <v>0.6428571429</v>
      </c>
      <c r="H179" s="24">
        <f t="shared" si="55"/>
        <v>0.3571428571</v>
      </c>
      <c r="I179" s="24">
        <f t="shared" si="55"/>
        <v>0.5714285714</v>
      </c>
      <c r="J179" s="24">
        <f t="shared" si="55"/>
        <v>0.3571428571</v>
      </c>
      <c r="K179" s="24">
        <f t="shared" si="55"/>
        <v>0.5714285714</v>
      </c>
      <c r="L179" s="24">
        <f t="shared" si="55"/>
        <v>0.5</v>
      </c>
      <c r="M179" s="14"/>
      <c r="N179" s="3" t="s">
        <v>86</v>
      </c>
      <c r="O179" s="4" t="str">
        <f>IFERROR(__xludf.DUMMYFUNCTION("IF(COUNTA(C173:L173) = 0, """", IFERROR(TEXTJOIN("", "", TRUE, FILTER(C170:L170, C173:L173 = MIN(C173:L173))), """"))"),"Hunter, Tanner")</f>
        <v>Hunter, Tanner</v>
      </c>
      <c r="P179" s="4" t="str">
        <f>IFERROR(__xludf.DUMMYFUNCTION("IF(COUNTA(C173:L173) = 0, """", IFERROR(TEXTJOIN("", "", TRUE, FILTER(C170:L170, C180:L180 = MIN(C180:L180))), """"))"),"Tanner")</f>
        <v>Tanner</v>
      </c>
      <c r="Q179" s="4"/>
    </row>
    <row r="180">
      <c r="A180" s="3" t="s">
        <v>87</v>
      </c>
      <c r="B180" s="2"/>
      <c r="C180" s="25">
        <f t="shared" ref="C180:L180" si="56">IF(C173="","",IF(((IF(C173 &lt;0,((-100/C173)+1),((C173/100)+1))+(IF(C167&lt;0,((-100/C167)+1),((C167/100)+1)))*(C164+C165))/(C164+C165+1))&lt;2,(-100/(((IF(C173 &lt;0,((-100/C173)+1),((C173/100)+1))+(IF(C167&lt;0,((-100/C167)+1),((C167/100)+1)))*(C164+C165))/(C164+C165+1))-1)),(((IF(C173 &lt;0,((-100/C173)+1),((C173/100)+1))+(IF(C167&lt;0,((-100/C167)+1),((C167/100)+1)))*(C164+C165))/(C164+C165+1))-1)*100))</f>
        <v>-122.0367472</v>
      </c>
      <c r="D180" s="25">
        <f t="shared" si="56"/>
        <v>-129.4183238</v>
      </c>
      <c r="E180" s="25">
        <f t="shared" si="56"/>
        <v>-135.0424822</v>
      </c>
      <c r="F180" s="25">
        <f t="shared" si="56"/>
        <v>-115.5347283</v>
      </c>
      <c r="G180" s="25">
        <f t="shared" si="56"/>
        <v>-110.3299235</v>
      </c>
      <c r="H180" s="25">
        <f t="shared" si="56"/>
        <v>-105.9431023</v>
      </c>
      <c r="I180" s="25">
        <f t="shared" si="56"/>
        <v>-120.0344036</v>
      </c>
      <c r="J180" s="25">
        <f t="shared" si="56"/>
        <v>-139.0256542</v>
      </c>
      <c r="K180" s="25">
        <f t="shared" si="56"/>
        <v>-124.8712653</v>
      </c>
      <c r="L180" s="25">
        <f t="shared" si="56"/>
        <v>-116.1128971</v>
      </c>
      <c r="M180" s="14"/>
      <c r="N180" s="4"/>
      <c r="O180" s="12"/>
      <c r="P180" s="12"/>
      <c r="Q180" s="4"/>
    </row>
    <row r="181">
      <c r="A181" s="16" t="s">
        <v>88</v>
      </c>
      <c r="B181" s="2"/>
      <c r="C181" s="26">
        <f>IFERROR(__xludf.DUMMYFUNCTION("IF(OR(C173="""",C176=""""),"""",IF(REGEXMATCH(C176,""W""),IF(C173&lt;0,((-100/C173))*10+C168,((C173/100)*10+C168)),-10+C168))"),20.834394686926963)</f>
        <v>20.83439469</v>
      </c>
      <c r="D181" s="26">
        <f>IFERROR(__xludf.DUMMYFUNCTION("IF(OR(D173="""",D176=""""),"""",IF(REGEXMATCH(D176,""W""),IF(D173&lt;0,((-100/D173))*10+D168,((D173/100)*10+D168)),-10+D168))"),0.7472155854312419)</f>
        <v>0.7472155854</v>
      </c>
      <c r="E181" s="26">
        <f>IFERROR(__xludf.DUMMYFUNCTION("IF(OR(E173="""",E176=""""),"""",IF(REGEXMATCH(E176,""W""),IF(E173&lt;0,((-100/E173))*10+E168,((E173/100)*10+E168)),-10+E168))"),-41.546697073012865)</f>
        <v>-41.54669707</v>
      </c>
      <c r="F181" s="26">
        <f>IFERROR(__xludf.DUMMYFUNCTION("IF(OR(F173="""",F176=""""),"""",IF(REGEXMATCH(F176,""W""),IF(F173&lt;0,((-100/F173))*10+F168,((F173/100)*10+F168)),-10+F168))"),-64.34072772338082)</f>
        <v>-64.34072772</v>
      </c>
      <c r="G181" s="26">
        <f>IFERROR(__xludf.DUMMYFUNCTION("IF(OR(G173="""",G176=""""),"""",IF(REGEXMATCH(G176,""W""),IF(G173&lt;0,((-100/G173))*10+G168,((G173/100)*10+G168)),-10+G168))"),28.47653669595075)</f>
        <v>28.4765367</v>
      </c>
      <c r="H181" s="26">
        <f>IFERROR(__xludf.DUMMYFUNCTION("IF(OR(H173="""",H176=""""),"""",IF(REGEXMATCH(H176,""W""),IF(H173&lt;0,((-100/H173))*10+H168,((H173/100)*10+H168)),-10+H168))"),-39.756479369686915)</f>
        <v>-39.75647937</v>
      </c>
      <c r="I181" s="26">
        <f>IFERROR(__xludf.DUMMYFUNCTION("IF(OR(I173="""",I176=""""),"""",IF(REGEXMATCH(I176,""W""),IF(I173&lt;0,((-100/I173))*10+I168,((I173/100)*10+I168)),-10+I168))"),6.72117392369109)</f>
        <v>6.721173924</v>
      </c>
      <c r="J181" s="26">
        <f>IFERROR(__xludf.DUMMYFUNCTION("IF(OR(J173="""",J176=""""),"""",IF(REGEXMATCH(J176,""W""),IF(J173&lt;0,((-100/J173))*10+J168,((J173/100)*10+J168)),-10+J168))"),-57.640256247427075)</f>
        <v>-57.64025625</v>
      </c>
      <c r="K181" s="26">
        <f>IFERROR(__xludf.DUMMYFUNCTION("IF(OR(K173="""",K176=""""),"""",IF(REGEXMATCH(K176,""W""),IF(K173&lt;0,((-100/K173))*10+K168,((K173/100)*10+K168)),-10+K168))"),4.372283998019348)</f>
        <v>4.372283998</v>
      </c>
      <c r="L181" s="26">
        <f>IFERROR(__xludf.DUMMYFUNCTION("IF(OR(L173="""",L176=""""),"""",IF(REGEXMATCH(L176,""W""),IF(L173&lt;0,((-100/L173))*10+L168,((L173/100)*10+L168)),-10+L168))"),-9.258915891126694)</f>
        <v>-9.258915891</v>
      </c>
      <c r="M181" s="14"/>
      <c r="N181" s="16" t="s">
        <v>89</v>
      </c>
      <c r="O181" s="10">
        <f>IFERROR(__xludf.DUMMYFUNCTION("IF(AND(C181="""",AND(D181="""",AND(E181="""",AND(F181="""",AND(G181="""",AND(H181="""",AND(I181="""",AND(J181="""",AND(K181="""",L181=""""))))))))),"""",(IF(C176="""",0,IF(REGEXMATCH(C176,""W""),IF(C173&lt;0,((-100/C173))*10,((C173/100)*10)),-10))+IF(D176="""&amp;""",0,IF(REGEXMATCH(D176,""W""),IF(D173&lt;0,((-100/D173))*10,((D173/100)*10)),-10))+IF(E176="""",0,IF(REGEXMATCH(E176,""W""),IF(E173&lt;0,((-100/E173))*10,((E173/100)*10)),-10))+IF(F176="""",0,IF(REGEXMATCH(F176,""W""),IF(F173&lt;0,((-100/F173))*10,((F173/100)*10)"&amp;"),-10))+IF(G176="""",0,IF(REGEXMATCH(G176,""W""),IF(G173&lt;0,((-100/G173))*10,((G173/100)*10)),-10))+IF(H176="""",0,IF(REGEXMATCH(H176,""W""),IF(H173&lt;0,((-100/H173))*10,((H173/100)*10)),-10))+IF(I176="""",0,IF(REGEXMATCH(I176,""W""),IF(I173&lt;0,((-100/I173))*"&amp;"10,((I173/100)*10)),-10))+IF(J176="""",0,IF(REGEXMATCH(J176,""W""),IF(J173&lt;0,((-100/J173))*10,((J173/100)*10)),-10))+IF(K176="""",0,IF(REGEXMATCH(K176,""W""),IF(K173&lt;0,((-100/K173))*10,((K173/100)*10)),-10))+IF(L176="""",0,IF(REGEXMATCH(L176,""W""),IF(L17"&amp;"3&lt;0,((-100/L173))*10,((L173/100)*10)),-10))))"),-64.94647636039251)</f>
        <v>-64.94647636</v>
      </c>
      <c r="P181" s="10">
        <f>IFERROR(__xludf.DUMMYFUNCTION("IF(AND(C181="""",AND(D181="""",AND(E181="""",AND(F181="""",AND(G181="""",AND(H181="""",AND(I181="""",AND(J181="""",AND(K181="""",L181=""""))))))))),"""",(P168+IF(C176="""",0,IF(REGEXMATCH(C176,""W""),IF(C173&lt;0,((-100/C173))*10,((C173/100)*10)),-10))+IF(D1"&amp;"76="""",0,IF(REGEXMATCH(D176,""W""),IF(D173&lt;0,((-100/D173))*10,((D173/100)*10)),-10))+IF(E176="""",0,IF(REGEXMATCH(E176,""W""),IF(E173&lt;0,((-100/E173))*10,((E173/100)*10)),-10))+IF(F176="""",0,IF(REGEXMATCH(F176,""W""),IF(F173&lt;0,((-100/F173))*10,((F173/100"&amp;")*10)),-10))+IF(G176="""",0,IF(REGEXMATCH(G176,""W""),IF(G173&lt;0,((-100/G173))*10,((G173/100)*10)),-10))+IF(H176="""",0,IF(REGEXMATCH(H176,""W""),IF(H173&lt;0,((-100/H173))*10,((H173/100)*10)),-10))+IF(I176="""",0,IF(REGEXMATCH(I176,""W""),IF(I173&lt;0,((-100/I1"&amp;"73))*10,((I173/100)*10)),-10))+IF(J176="""",0,IF(REGEXMATCH(J176,""W""),IF(J173&lt;0,((-100/J173))*10,((J173/100)*10)),-10))+IF(K176="""",0,IF(REGEXMATCH(K176,""W""),IF(K173&lt;0,((-100/K173))*10,((K173/100)*10)),-10))+IF(L176="""",0,IF(REGEXMATCH(L176,""W""),I"&amp;"F(L173&lt;0,((-100/L173))*10,((L173/100)*10)),-10))))"),-151.39147141461498)</f>
        <v>-151.3914714</v>
      </c>
      <c r="Q181" s="4"/>
    </row>
    <row r="182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</row>
    <row r="183">
      <c r="A183" s="1" t="s">
        <v>556</v>
      </c>
      <c r="B183" s="2"/>
      <c r="C183" s="3" t="s">
        <v>1</v>
      </c>
      <c r="D183" s="3" t="s">
        <v>2</v>
      </c>
      <c r="E183" s="3" t="s">
        <v>3</v>
      </c>
      <c r="F183" s="3" t="s">
        <v>4</v>
      </c>
      <c r="G183" s="3" t="s">
        <v>5</v>
      </c>
      <c r="H183" s="3" t="s">
        <v>6</v>
      </c>
      <c r="I183" s="3" t="s">
        <v>7</v>
      </c>
      <c r="J183" s="3" t="s">
        <v>8</v>
      </c>
      <c r="K183" s="3" t="s">
        <v>9</v>
      </c>
      <c r="L183" s="3" t="s">
        <v>10</v>
      </c>
      <c r="M183" s="2"/>
      <c r="N183" s="4"/>
      <c r="O183" s="3" t="s">
        <v>11</v>
      </c>
      <c r="P183" s="4"/>
      <c r="Q183" s="4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</row>
    <row r="185">
      <c r="A185" s="3" t="s">
        <v>12</v>
      </c>
      <c r="B185" s="2"/>
      <c r="C185" s="5" t="s">
        <v>690</v>
      </c>
      <c r="D185" s="5" t="s">
        <v>691</v>
      </c>
      <c r="E185" s="19" t="s">
        <v>692</v>
      </c>
      <c r="F185" s="5" t="s">
        <v>693</v>
      </c>
      <c r="G185" s="5" t="s">
        <v>694</v>
      </c>
      <c r="H185" s="5" t="s">
        <v>510</v>
      </c>
      <c r="I185" s="5" t="s">
        <v>151</v>
      </c>
      <c r="J185" s="5" t="s">
        <v>695</v>
      </c>
      <c r="K185" s="5" t="s">
        <v>696</v>
      </c>
      <c r="L185" s="5" t="s">
        <v>697</v>
      </c>
      <c r="M185" s="2"/>
      <c r="N185" s="3" t="s">
        <v>13</v>
      </c>
      <c r="O185" s="7">
        <f>IF(AND(C186="",AND(D186="",AND(E186="",AND(F186="",AND(G186="",AND(H186="",AND(I186="",AND(J186="",AND(K186="",L186=""))))))))),"",IF(((IF(C186="",1,IF(C186&gt;0,(C186/100)+1,(100/((-1)*C186))+1)))*(IF(D186="",1,IF(D186&gt;0,(D186/100)+1,(100/((-1)*D186))+1)))*(IF(E186="",1,IF(E186&gt;0,(E186/100)+1,(100/((-1)*E186))+1)))*(IF(F186="",1,IF(F186&gt;0,(F186/100)+1,(100/((-1)*F186))+1)))*(IF(G186="",1,IF(G186&gt;0,(G186/100)+1,(100/((-1)*G186))+1)))*(IF(H186="",1,IF(H186&gt;0,(H186/100)+1,(100/((-1)*H186))+1)))*(IF(I186="",1,IF(I186&gt;0,(I186/100)+1,(100/((-1)*I186))+1)))*(IF(J186="",1,IF(J186&gt;0,(J186/100)+1,(100/((-1)*J186))+1)))*(IF(K186="",1,IF(K186&gt;0,(K186/100)+1,(100/((-1)*K186))+1)))*(IF(L186="",1,IF(L186&gt;0,(L186/100)+1,(100/((-1)*L186))+1))))&lt;2,((-100)/(((IF(C186="",1,IF(C186&gt;0,(C186/100)+1,(100/((-1)*C186))+1)))*(IF(D186="",1,IF(D186&gt;0,(D186/100)+1,(100/((-1)*D186))+1)))*(IF(E186="",1,IF(E186&gt;0,(E186/100)+1,(100/((-1)*E186))+1)))*(IF(F186="",1,IF(F186&gt;0,(F186/100)+1,(100/((-1)*F186))+1)))*(IF(G186="",1,IF(G186&gt;0,(G186/100)+1,(100/((-1)*G186))+1)))*(IF(H186="",1,IF(H186&gt;0,(H186/100)+1,(100/((-1)*H186))+1)))*(IF(I186="",1,IF(I186&gt;0,(I186/100)+1,(100/((-1)*I186))+1)))*(IF(J186="",1,IF(J186&gt;0,(J186/100)+1,(100/((-1)*J186))+1)))*(IF(K186="",1,IF(K186&gt;0,(K186/100)+1,(100/((-1)*K186))+1)))*(IF(L186="",1,IF(L186&gt;0,(L186/100)+1,(100/((-1)*L186))+1))))-1)),((((IF(C186="",1,IF(C186&gt;0,(C186/100)+1,(100/((-1)*C186))+1)))*(IF(D186="",1,IF(D186&gt;0,(D186/100)+1,(100/((-1)*D186))+1)))*(IF(E186="",1,IF(E186&gt;0,(E186/100)+1,(100/((-1)*E186))+1)))*(IF(F186="",1,IF(F186&gt;0,(F186/100)+1,(100/((-1)*F186))+1)))*(IF(G186="",1,IF(G186&gt;0,(G186/100)+1,(100/((-1)*G186))+1)))*(IF(H186="",1,IF(H186&gt;0,(H186/100)+1,(100/((-1)*H186))+1)))*(IF(I186="",1,IF(I186&gt;0,(I186/100)+1,(100/((-1)*I186))+1)))*(IF(J186="",1,IF(J186&gt;0,(J186/100)+1,(100/((-1)*J186))+1)))*(IF(K186="",1,IF(K186&gt;0,(K186/100)+1,(100/((-1)*K186))+1)))*(IF(L186="",1,IF(L186&gt;0,(L186/100)+1,(100/((-1)*L186))+1))))-1)*(100))))</f>
        <v>29386.55922</v>
      </c>
      <c r="P185" s="4"/>
      <c r="Q185" s="8" t="s">
        <v>35</v>
      </c>
    </row>
    <row r="186">
      <c r="A186" s="3" t="s">
        <v>13</v>
      </c>
      <c r="B186" s="2"/>
      <c r="C186" s="5">
        <v>-130.0</v>
      </c>
      <c r="D186" s="5">
        <v>100.0</v>
      </c>
      <c r="E186" s="5">
        <v>-160.0</v>
      </c>
      <c r="F186" s="5">
        <v>-175.0</v>
      </c>
      <c r="G186" s="5">
        <v>-115.0</v>
      </c>
      <c r="H186" s="5">
        <v>-150.0</v>
      </c>
      <c r="I186" s="5">
        <v>-150.0</v>
      </c>
      <c r="J186" s="5">
        <v>-120.0</v>
      </c>
      <c r="K186" s="5">
        <v>-120.0</v>
      </c>
      <c r="L186" s="5">
        <v>-115.0</v>
      </c>
      <c r="M186" s="2">
        <v>14.0</v>
      </c>
      <c r="N186" s="3" t="s">
        <v>36</v>
      </c>
      <c r="O186" s="10">
        <f>IF(AND(C186="",AND(D186="",AND(E186="",AND(F186="",AND(G186="",AND(H186="",AND(I186="",AND(J186="",AND(K186="",L186=""))))))))),"",10+IF((IF(((IF(C186="",1,IF(C186&gt;0,(C186/100)+1,(100/((-1)*C186))+1)))*(IF(D186="",1,IF(D186&gt;0,(D186/100)+1,(100/((-1)*D186))+1)))*(IF(E186="",1,IF(E186&gt;0,(E186/100)+1,(100/((-1)*E186))+1)))*(IF(F186="",1,IF(F186&gt;0,(F186/100)+1,(100/((-1)*F186))+1)))*(IF(G186="",1,IF(G186&gt;0,(G186/100)+1,(100/((-1)*G186))+1)))*(IF(H186="",1,IF(H186&gt;0,(H186/100)+1,(100/((-1)*H186))+1)))*(IF(I186="",1,IF(I186&gt;0,(I186/100)+1,(100/((-1)*I186))+1)))*(IF(J186="",1,IF(J186&gt;0,(J186/100)+1,(100/((-1)*J186))+1)))*(IF(K186="",1,IF(K186&gt;0,(K186/100)+1,(100/((-1)*K186))+1)))*(IF(L186="",1,IF(L186&gt;0,(L186/100)+1,(100/((-1)*L186))+1))))&lt;2,((-100)/(((IF(C186="",1,IF(C186&gt;0,(C186/100)+1,(100/((-1)*C186))+1)))*(IF(D186="",1,IF(D186&gt;0,(D186/100)+1,(100/((-1)*D186))+1)))*(IF(E186="",1,IF(E186&gt;0,(E186/100)+1,(100/((-1)*E186))+1)))*(IF(F186="",1,IF(F186&gt;0,(F186/100)+1,(100/((-1)*F186))+1)))*(IF(G186="",1,IF(G186&gt;0,(G186/100)+1,(100/((-1)*G186))+1)))*(IF(H186="",1,IF(H186&gt;0,(H186/100)+1,(100/((-1)*H186))+1)))*(IF(I186="",1,IF(I186&gt;0,(I186/100)+1,(100/((-1)*I186))+1)))*(IF(J186="",1,IF(J186&gt;0,(J186/100)+1,(100/((-1)*J186))+1)))*(IF(K186="",1,IF(K186&gt;0,(K186/100)+1,(100/((-1)*K186))+1)))*(IF(L186="",1,IF(L186&gt;0,(L186/100)+1,(100/((-1)*L186))+1))))-1)),((((IF(C186="",1,IF(C186&gt;0,(C186/100)+1,(100/((-1)*C186))+1)))*(IF(D186="",1,IF(D186&gt;0,(D186/100)+1,(100/((-1)*D186))+1)))*(IF(E186="",1,IF(E186&gt;0,(E186/100)+1,(100/((-1)*E186))+1)))*(IF(F186="",1,IF(F186&gt;0,(F186/100)+1,(100/((-1)*F186))+1)))*(IF(G186="",1,IF(G186&gt;0,(G186/100)+1,(100/((-1)*G186))+1)))*(IF(H186="",1,IF(H186&gt;0,(H186/100)+1,(100/((-1)*H186))+1)))*(IF(I186="",1,IF(I186&gt;0,(I186/100)+1,(100/((-1)*I186))+1)))*(IF(J186="",1,IF(J186&gt;0,(J186/100)+1,(100/((-1)*J186))+1)))*(IF(K186="",1,IF(K186&gt;0,(K186/100)+1,(100/((-1)*K186))+1)))*(IF(L186="",1,IF(L186&gt;0,(L186/100)+1,(100/((-1)*L186))+1))))-1)*(100))))&lt;0,(((-100)/((IF(((IF(C186="",1,IF(C186&gt;0,(C186/100)+1,(100/((-1)*C186))+1)))*(IF(D186="",1,IF(D186&gt;0,(D186/100)+1,(100/((-1)*D186))+1)))*(IF(E186="",1,IF(E186&gt;0,(E186/100)+1,(100/((-1)*E186))+1)))*(IF(F186="",1,IF(F186&gt;0,(F186/100)+1,(100/((-1)*F186))+1)))*(IF(G186="",1,IF(G186&gt;0,(G186/100)+1,(100/((-1)*G186))+1)))*(IF(H186="",1,IF(H186&gt;0,(H186/100)+1,(100/((-1)*H186))+1)))*(IF(I186="",1,IF(I186&gt;0,(I186/100)+1,(100/((-1)*I186))+1)))*(IF(J186="",1,IF(J186&gt;0,(J186/100)+1,(100/((-1)*J186))+1)))*(IF(K186="",1,IF(K186&gt;0,(K186/100)+1,(100/((-1)*K186))+1)))*(IF(L186="",1,IF(L186&gt;0,(L186/100)+1,(100/((-1)*L186))+1))))&lt;2,((-100)/(((IF(C186="",1,IF(C186&gt;0,(C186/100)+1,(100/((-1)*C186))+1)))*(IF(D186="",1,IF(D186&gt;0,(D186/100)+1,(100/((-1)*D186))+1)))*(IF(E186="",1,IF(E186&gt;0,(E186/100)+1,(100/((-1)*E186))+1)))*(IF(F186="",1,IF(F186&gt;0,(F186/100)+1,(100/((-1)*F186))+1)))*(IF(G186="",1,IF(G186&gt;0,(G186/100)+1,(100/((-1)*G186))+1)))*(IF(H186="",1,IF(H186&gt;0,(H186/100)+1,(100/((-1)*H186))+1)))*(IF(I186="",1,IF(I186&gt;0,(I186/100)+1,(100/((-1)*I186))+1)))*(IF(J186="",1,IF(J186&gt;0,(J186/100)+1,(100/((-1)*J186))+1)))*(IF(K186="",1,IF(K186&gt;0,(K186/100)+1,(100/((-1)*K186))+1)))*(IF(L186="",1,IF(L186&gt;0,(L186/100)+1,(100/((-1)*L186))+1))))-1)),((((IF(C186="",1,IF(C186&gt;0,(C186/100)+1,(100/((-1)*C186))+1)))*(IF(D186="",1,IF(D186&gt;0,(D186/100)+1,(100/((-1)*D186))+1)))*(IF(E186="",1,IF(E186&gt;0,(E186/100)+1,(100/((-1)*E186))+1)))*(IF(F186="",1,IF(F186&gt;0,(F186/100)+1,(100/((-1)*F186))+1)))*(IF(G186="",1,IF(G186&gt;0,(G186/100)+1,(100/((-1)*G186))+1)))*(IF(H186="",1,IF(H186&gt;0,(H186/100)+1,(100/((-1)*H186))+1)))*(IF(I186="",1,IF(I186&gt;0,(I186/100)+1,(100/((-1)*I186))+1)))*(IF(J186="",1,IF(J186&gt;0,(J186/100)+1,(100/((-1)*J186))+1)))*(IF(K186="",1,IF(K186&gt;0,(K186/100)+1,(100/((-1)*K186))+1)))*(IF(L186="",1,IF(L186&gt;0,(L186/100)+1,(100/((-1)*L186))+1))))-1)*(100))))))*10),(((IF(((IF(C186="",1,IF(C186&gt;0,(C186/100)+1,(100/((-1)*C186))+1)))*(IF(D186="",1,IF(D186&gt;0,(D186/100)+1,(100/((-1)*D186))+1)))*(IF(E186="",1,IF(E186&gt;0,(E186/100)+1,(100/((-1)*E186))+1)))*(IF(F186="",1,IF(F186&gt;0,(F186/100)+1,(100/((-1)*F186))+1)))*(IF(G186="",1,IF(G186&gt;0,(G186/100)+1,(100/((-1)*G186))+1)))*(IF(H186="",1,IF(H186&gt;0,(H186/100)+1,(100/((-1)*H186))+1)))*(IF(I186="",1,IF(I186&gt;0,(I186/100)+1,(100/((-1)*I186))+1)))*(IF(J186="",1,IF(J186&gt;0,(J186/100)+1,(100/((-1)*J186))+1)))*(IF(K186="",1,IF(K186&gt;0,(K186/100)+1,(100/((-1)*K186))+1)))*(IF(L186="",1,IF(L186&gt;0,(L186/100)+1,(100/((-1)*L186))+1))))&lt;2,((-100)/(((IF(C186="",1,IF(C186&gt;0,(C186/100)+1,(100/((-1)*C186))+1)))*(IF(D186="",1,IF(D186&gt;0,(D186/100)+1,(100/((-1)*D186))+1)))*(IF(E186="",1,IF(E186&gt;0,(E186/100)+1,(100/((-1)*E186))+1)))*(IF(F186="",1,IF(F186&gt;0,(F186/100)+1,(100/((-1)*F186))+1)))*(IF(G186="",1,IF(G186&gt;0,(G186/100)+1,(100/((-1)*G186))+1)))*(IF(H186="",1,IF(H186&gt;0,(H186/100)+1,(100/((-1)*H186))+1)))*(IF(I186="",1,IF(I186&gt;0,(I186/100)+1,(100/((-1)*I186))+1)))*(IF(J186="",1,IF(J186&gt;0,(J186/100)+1,(100/((-1)*J186))+1)))*(IF(K186="",1,IF(K186&gt;0,(K186/100)+1,(100/((-1)*K186))+1)))*(IF(L186="",1,IF(L186&gt;0,(L186/100)+1,(100/((-1)*L186))+1))))-1)),((((IF(C186="",1,IF(C186&gt;0,(C186/100)+1,(100/((-1)*C186))+1)))*(IF(D186="",1,IF(D186&gt;0,(D186/100)+1,(100/((-1)*D186))+1)))*(IF(E186="",1,IF(E186&gt;0,(E186/100)+1,(100/((-1)*E186))+1)))*(IF(F186="",1,IF(F186&gt;0,(F186/100)+1,(100/((-1)*F186))+1)))*(IF(G186="",1,IF(G186&gt;0,(G186/100)+1,(100/((-1)*G186))+1)))*(IF(H186="",1,IF(H186&gt;0,(H186/100)+1,(100/((-1)*H186))+1)))*(IF(I186="",1,IF(I186&gt;0,(I186/100)+1,(100/((-1)*I186))+1)))*(IF(J186="",1,IF(J186&gt;0,(J186/100)+1,(100/((-1)*J186))+1)))*(IF(K186="",1,IF(K186&gt;0,(K186/100)+1,(100/((-1)*K186))+1)))*(IF(L186="",1,IF(L186&gt;0,(L186/100)+1,(100/((-1)*L186))+1))))-1)*(100))))/100)*10)))</f>
        <v>2948.655922</v>
      </c>
      <c r="P186" s="4"/>
      <c r="Q186" s="4"/>
    </row>
    <row r="187">
      <c r="A187" s="3" t="s">
        <v>37</v>
      </c>
      <c r="B187" s="2"/>
      <c r="C187" s="5" t="s">
        <v>698</v>
      </c>
      <c r="D187" s="5" t="s">
        <v>699</v>
      </c>
      <c r="E187" s="5" t="s">
        <v>422</v>
      </c>
      <c r="F187" s="5" t="s">
        <v>700</v>
      </c>
      <c r="G187" s="5" t="s">
        <v>701</v>
      </c>
      <c r="H187" s="5" t="s">
        <v>702</v>
      </c>
      <c r="I187" s="5" t="s">
        <v>703</v>
      </c>
      <c r="J187" s="5" t="s">
        <v>704</v>
      </c>
      <c r="K187" s="5" t="s">
        <v>705</v>
      </c>
      <c r="L187" s="5" t="s">
        <v>706</v>
      </c>
      <c r="M187" s="2"/>
      <c r="N187" s="4"/>
      <c r="O187" s="4"/>
      <c r="P187" s="4"/>
      <c r="Q187" s="4"/>
    </row>
    <row r="188">
      <c r="A188" s="3" t="s">
        <v>48</v>
      </c>
      <c r="B188" s="2"/>
      <c r="C188" s="5" t="s">
        <v>707</v>
      </c>
      <c r="D188" s="5" t="s">
        <v>708</v>
      </c>
      <c r="E188" s="5" t="s">
        <v>185</v>
      </c>
      <c r="F188" s="5" t="s">
        <v>709</v>
      </c>
      <c r="G188" s="11">
        <v>46202.0</v>
      </c>
      <c r="H188" s="5" t="s">
        <v>710</v>
      </c>
      <c r="I188" s="5" t="s">
        <v>577</v>
      </c>
      <c r="J188" s="5" t="s">
        <v>711</v>
      </c>
      <c r="K188" s="11">
        <v>46291.0</v>
      </c>
      <c r="L188" s="5" t="s">
        <v>712</v>
      </c>
      <c r="M188" s="2"/>
      <c r="N188" s="4"/>
      <c r="O188" s="3" t="s">
        <v>56</v>
      </c>
      <c r="P188" s="3" t="s">
        <v>57</v>
      </c>
      <c r="Q188" s="4"/>
    </row>
    <row r="189">
      <c r="A189" s="3" t="s">
        <v>59</v>
      </c>
      <c r="B189" s="2"/>
      <c r="C189" s="5" t="s">
        <v>62</v>
      </c>
      <c r="D189" s="5" t="s">
        <v>62</v>
      </c>
      <c r="E189" s="5" t="s">
        <v>62</v>
      </c>
      <c r="F189" s="5" t="s">
        <v>60</v>
      </c>
      <c r="G189" s="5" t="s">
        <v>60</v>
      </c>
      <c r="H189" s="5" t="s">
        <v>62</v>
      </c>
      <c r="I189" s="5" t="s">
        <v>60</v>
      </c>
      <c r="J189" s="5" t="s">
        <v>60</v>
      </c>
      <c r="K189" s="5" t="s">
        <v>60</v>
      </c>
      <c r="L189" s="5" t="s">
        <v>60</v>
      </c>
      <c r="M189" s="2"/>
      <c r="N189" s="3" t="s">
        <v>65</v>
      </c>
      <c r="O189" s="12" t="str">
        <f>IFERROR(__xludf.DUMMYFUNCTION("IF(OR(COUNTA(C186:L186) = 0, COUNTA(C189:L189) = 0), """", IFERROR(TEXTJOIN("", "", TRUE, FILTER(C183:L183, (C189:L189 = ""W"") * (C186:L186 = MAX(FILTER(C186:L186, C189:L189 = ""W""))))), """"))"),"Hunter, Trey")</f>
        <v>Hunter, Trey</v>
      </c>
      <c r="P189" s="12" t="str">
        <f>IFERROR(__xludf.DUMMYFUNCTION("IF(COUNTA(C194:L194) = 0, """", IFERROR(TEXTJOIN("", "", TRUE, FILTER(C183:L183, C194:L194 = MAX(C194:L194))), """"))"),"Hunter")</f>
        <v>Hunter</v>
      </c>
      <c r="Q189" s="4"/>
    </row>
    <row r="190">
      <c r="A190" s="1" t="s">
        <v>81</v>
      </c>
      <c r="B190" s="2"/>
      <c r="C190" s="4">
        <f t="shared" ref="C190:L190" si="57">IF(OR(C186="",C189=""),"",C177+COUNTIF(C189,"W"))</f>
        <v>9</v>
      </c>
      <c r="D190" s="4">
        <f t="shared" si="57"/>
        <v>8</v>
      </c>
      <c r="E190" s="4">
        <f t="shared" si="57"/>
        <v>6</v>
      </c>
      <c r="F190" s="4">
        <f t="shared" si="57"/>
        <v>5</v>
      </c>
      <c r="G190" s="4">
        <f t="shared" si="57"/>
        <v>10</v>
      </c>
      <c r="H190" s="4">
        <f t="shared" si="57"/>
        <v>5</v>
      </c>
      <c r="I190" s="4">
        <f t="shared" si="57"/>
        <v>9</v>
      </c>
      <c r="J190" s="4">
        <f t="shared" si="57"/>
        <v>6</v>
      </c>
      <c r="K190" s="4">
        <f t="shared" si="57"/>
        <v>9</v>
      </c>
      <c r="L190" s="4">
        <f t="shared" si="57"/>
        <v>8</v>
      </c>
      <c r="M190" s="2"/>
      <c r="N190" s="3" t="s">
        <v>82</v>
      </c>
      <c r="O190" s="4" t="str">
        <f>IFERROR(__xludf.DUMMYFUNCTION("IF(OR(COUNTA(C186:L186) = 0, COUNTA(C189:L189) = 0), """", IFERROR(TEXTJOIN("", "", TRUE, FILTER(C183:L183, (C189:L189 = ""L"") * (C186:L186 = MIN(FILTER(C186:L186, C189:L189 = ""L""))))), """"))"),"Clayton")</f>
        <v>Clayton</v>
      </c>
      <c r="P190" s="12" t="str">
        <f>IFERROR(__xludf.DUMMYFUNCTION("IF(COUNTA(C194:L194) = 0, """", IFERROR(TEXTJOIN("", "", TRUE, FILTER(C183:L183, C194:L194 = MIN(C194:L194))), """"))"),"Dan")</f>
        <v>Dan</v>
      </c>
      <c r="Q190" s="4"/>
    </row>
    <row r="191">
      <c r="A191" s="1" t="s">
        <v>83</v>
      </c>
      <c r="B191" s="2"/>
      <c r="C191" s="27">
        <f t="shared" ref="C191:L191" si="58">IF(OR(C186="",C189=""),"",C178+COUNTIF(C189,"L"))</f>
        <v>6</v>
      </c>
      <c r="D191" s="27">
        <f t="shared" si="58"/>
        <v>7</v>
      </c>
      <c r="E191" s="27">
        <f t="shared" si="58"/>
        <v>9</v>
      </c>
      <c r="F191" s="27">
        <f t="shared" si="58"/>
        <v>10</v>
      </c>
      <c r="G191" s="27">
        <f t="shared" si="58"/>
        <v>5</v>
      </c>
      <c r="H191" s="27">
        <f t="shared" si="58"/>
        <v>10</v>
      </c>
      <c r="I191" s="27">
        <f t="shared" si="58"/>
        <v>6</v>
      </c>
      <c r="J191" s="27">
        <f t="shared" si="58"/>
        <v>9</v>
      </c>
      <c r="K191" s="27">
        <f t="shared" si="58"/>
        <v>6</v>
      </c>
      <c r="L191" s="27">
        <f t="shared" si="58"/>
        <v>7</v>
      </c>
      <c r="M191" s="2"/>
      <c r="N191" s="3" t="s">
        <v>84</v>
      </c>
      <c r="O191" s="12" t="str">
        <f>IFERROR(__xludf.DUMMYFUNCTION("IF(COUNTA(C186:L186) = 0, """", IFERROR(TEXTJOIN("", "", TRUE, FILTER(C183:L183, C186:L186 = MAX(C186:L186))), """"))"),"Carson")</f>
        <v>Carson</v>
      </c>
      <c r="P191" s="4" t="str">
        <f>IFERROR(__xludf.DUMMYFUNCTION("IF(COUNTA(C186:L186) = 0, """", IFERROR(TEXTJOIN("", "", TRUE, FILTER(C183:L183, C193:L193 = MAX(C193:L193))), """"))"),"Jake")</f>
        <v>Jake</v>
      </c>
      <c r="Q191" s="4"/>
    </row>
    <row r="192">
      <c r="A192" s="3" t="s">
        <v>85</v>
      </c>
      <c r="B192" s="2"/>
      <c r="C192" s="24">
        <f t="shared" ref="C192:L192" si="59">IF(OR(C186="",C189=""),"",(C190/(C190+C191)))</f>
        <v>0.6</v>
      </c>
      <c r="D192" s="24">
        <f t="shared" si="59"/>
        <v>0.5333333333</v>
      </c>
      <c r="E192" s="24">
        <f t="shared" si="59"/>
        <v>0.4</v>
      </c>
      <c r="F192" s="24">
        <f t="shared" si="59"/>
        <v>0.3333333333</v>
      </c>
      <c r="G192" s="24">
        <f t="shared" si="59"/>
        <v>0.6666666667</v>
      </c>
      <c r="H192" s="24">
        <f t="shared" si="59"/>
        <v>0.3333333333</v>
      </c>
      <c r="I192" s="24">
        <f t="shared" si="59"/>
        <v>0.6</v>
      </c>
      <c r="J192" s="24">
        <f t="shared" si="59"/>
        <v>0.4</v>
      </c>
      <c r="K192" s="24">
        <f t="shared" si="59"/>
        <v>0.6</v>
      </c>
      <c r="L192" s="24">
        <f t="shared" si="59"/>
        <v>0.5333333333</v>
      </c>
      <c r="M192" s="14"/>
      <c r="N192" s="3" t="s">
        <v>86</v>
      </c>
      <c r="O192" s="4" t="str">
        <f>IFERROR(__xludf.DUMMYFUNCTION("IF(COUNTA(C186:L186) = 0, """", IFERROR(TEXTJOIN("", "", TRUE, FILTER(C183:L183, C186:L186 = MIN(C186:L186))), """"))"),"Dan")</f>
        <v>Dan</v>
      </c>
      <c r="P192" s="4" t="str">
        <f>IFERROR(__xludf.DUMMYFUNCTION("IF(COUNTA(C186:L186) = 0, """", IFERROR(TEXTJOIN("", "", TRUE, FILTER(C183:L183, C193:L193 = MIN(C193:L193))), """"))"),"Tanner")</f>
        <v>Tanner</v>
      </c>
      <c r="Q192" s="4"/>
    </row>
    <row r="193">
      <c r="A193" s="3" t="s">
        <v>87</v>
      </c>
      <c r="B193" s="2"/>
      <c r="C193" s="25">
        <f t="shared" ref="C193:L193" si="60">IF(C186="","",IF(((IF(C186 &lt;0,((-100/C186)+1),((C186/100)+1))+(IF(C180&lt;0,((-100/C180)+1),((C180/100)+1)))*(C177+C178))/(C177+C178+1))&lt;2,(-100/(((IF(C186 &lt;0,((-100/C186)+1),((C186/100)+1))+(IF(C180&lt;0,((-100/C180)+1),((C180/100)+1)))*(C177+C178))/(C177+C178+1))-1)),(((IF(C186 &lt;0,((-100/C186)+1),((C186/100)+1))+(IF(C180&lt;0,((-100/C180)+1),((C180/100)+1)))*(C177+C178))/(C177+C178+1))-1)*100))</f>
        <v>-122.5371546</v>
      </c>
      <c r="D193" s="25">
        <f t="shared" si="60"/>
        <v>-126.9289656</v>
      </c>
      <c r="E193" s="25">
        <f t="shared" si="60"/>
        <v>-136.4615411</v>
      </c>
      <c r="F193" s="25">
        <f t="shared" si="60"/>
        <v>-118.2126511</v>
      </c>
      <c r="G193" s="25">
        <f t="shared" si="60"/>
        <v>-110.6294295</v>
      </c>
      <c r="H193" s="25">
        <f t="shared" si="60"/>
        <v>-108.0589885</v>
      </c>
      <c r="I193" s="25">
        <f t="shared" si="60"/>
        <v>-121.6546048</v>
      </c>
      <c r="J193" s="25">
        <f t="shared" si="60"/>
        <v>-137.5715493</v>
      </c>
      <c r="K193" s="25">
        <f t="shared" si="60"/>
        <v>-124.5342435</v>
      </c>
      <c r="L193" s="25">
        <f t="shared" si="60"/>
        <v>-116.0380343</v>
      </c>
      <c r="M193" s="14"/>
      <c r="N193" s="4"/>
      <c r="O193" s="12"/>
      <c r="P193" s="12"/>
      <c r="Q193" s="4"/>
    </row>
    <row r="194">
      <c r="A194" s="16" t="s">
        <v>88</v>
      </c>
      <c r="B194" s="2"/>
      <c r="C194" s="26">
        <f>IFERROR(__xludf.DUMMYFUNCTION("IF(OR(C186="""",C189=""""),"""",IF(REGEXMATCH(C189,""W""),IF(C186&lt;0,((-100/C186))*10+C181,((C186/100)*10+C181)),-10+C181))"),10.834394686926963)</f>
        <v>10.83439469</v>
      </c>
      <c r="D194" s="26">
        <f>IFERROR(__xludf.DUMMYFUNCTION("IF(OR(D186="""",D189=""""),"""",IF(REGEXMATCH(D189,""W""),IF(D186&lt;0,((-100/D186))*10+D181,((D186/100)*10+D181)),-10+D181))"),-9.252784414568758)</f>
        <v>-9.252784415</v>
      </c>
      <c r="E194" s="26">
        <f>IFERROR(__xludf.DUMMYFUNCTION("IF(OR(E186="""",E189=""""),"""",IF(REGEXMATCH(E189,""W""),IF(E186&lt;0,((-100/E186))*10+E181,((E186/100)*10+E181)),-10+E181))"),-51.546697073012865)</f>
        <v>-51.54669707</v>
      </c>
      <c r="F194" s="26">
        <f>IFERROR(__xludf.DUMMYFUNCTION("IF(OR(F186="""",F189=""""),"""",IF(REGEXMATCH(F189,""W""),IF(F186&lt;0,((-100/F186))*10+F181,((F186/100)*10+F181)),-10+F181))"),-58.62644200909511)</f>
        <v>-58.62644201</v>
      </c>
      <c r="G194" s="26">
        <f>IFERROR(__xludf.DUMMYFUNCTION("IF(OR(G186="""",G189=""""),"""",IF(REGEXMATCH(G189,""W""),IF(G186&lt;0,((-100/G186))*10+G181,((G186/100)*10+G181)),-10+G181))"),37.17218886986379)</f>
        <v>37.17218887</v>
      </c>
      <c r="H194" s="26">
        <f>IFERROR(__xludf.DUMMYFUNCTION("IF(OR(H186="""",H189=""""),"""",IF(REGEXMATCH(H189,""W""),IF(H186&lt;0,((-100/H186))*10+H181,((H186/100)*10+H181)),-10+H181))"),-49.756479369686915)</f>
        <v>-49.75647937</v>
      </c>
      <c r="I194" s="26">
        <f>IFERROR(__xludf.DUMMYFUNCTION("IF(OR(I186="""",I189=""""),"""",IF(REGEXMATCH(I189,""W""),IF(I186&lt;0,((-100/I186))*10+I181,((I186/100)*10+I181)),-10+I181))"),13.387840590357756)</f>
        <v>13.38784059</v>
      </c>
      <c r="J194" s="26">
        <f>IFERROR(__xludf.DUMMYFUNCTION("IF(OR(J186="""",J189=""""),"""",IF(REGEXMATCH(J189,""W""),IF(J186&lt;0,((-100/J186))*10+J181,((J186/100)*10+J181)),-10+J181))"),-49.30692291409374)</f>
        <v>-49.30692291</v>
      </c>
      <c r="K194" s="26">
        <f>IFERROR(__xludf.DUMMYFUNCTION("IF(OR(K186="""",K189=""""),"""",IF(REGEXMATCH(K189,""W""),IF(K186&lt;0,((-100/K186))*10+K181,((K186/100)*10+K181)),-10+K181))"),12.705617331352682)</f>
        <v>12.70561733</v>
      </c>
      <c r="L194" s="26">
        <f>IFERROR(__xludf.DUMMYFUNCTION("IF(OR(L186="""",L189=""""),"""",IF(REGEXMATCH(L189,""W""),IF(L186&lt;0,((-100/L186))*10+L181,((L186/100)*10+L181)),-10+L181))"),-0.5632637172136512)</f>
        <v>-0.5632637172</v>
      </c>
      <c r="M194" s="14"/>
      <c r="N194" s="16" t="s">
        <v>89</v>
      </c>
      <c r="O194" s="10">
        <f>IFERROR(__xludf.DUMMYFUNCTION("IF(AND(C194="""",AND(D194="""",AND(E194="""",AND(F194="""",AND(G194="""",AND(H194="""",AND(I194="""",AND(J194="""",AND(K194="""",L194=""""))))))))),"""",(IF(C189="""",0,IF(REGEXMATCH(C189,""W""),IF(C186&lt;0,((-100/C186))*10,((C186/100)*10)),-10))+IF(D189="""&amp;""",0,IF(REGEXMATCH(D189,""W""),IF(D186&lt;0,((-100/D186))*10,((D186/100)*10)),-10))+IF(E189="""",0,IF(REGEXMATCH(E189,""W""),IF(E186&lt;0,((-100/E186))*10,((E186/100)*10)),-10))+IF(F189="""",0,IF(REGEXMATCH(F189,""W""),IF(F186&lt;0,((-100/F186))*10,((F186/100)*10)"&amp;"),-10))+IF(G189="""",0,IF(REGEXMATCH(G189,""W""),IF(G186&lt;0,((-100/G186))*10,((G186/100)*10)),-10))+IF(H189="""",0,IF(REGEXMATCH(H189,""W""),IF(H186&lt;0,((-100/H186))*10,((H186/100)*10)),-10))+IF(I189="""",0,IF(REGEXMATCH(I189,""W""),IF(I186&lt;0,((-100/I186))*"&amp;"10,((I186/100)*10)),-10))+IF(J189="""",0,IF(REGEXMATCH(J189,""W""),IF(J186&lt;0,((-100/J186))*10,((J186/100)*10)),-10))+IF(K189="""",0,IF(REGEXMATCH(K189,""W""),IF(K186&lt;0,((-100/K186))*10,((K186/100)*10)),-10))+IF(L189="""",0,IF(REGEXMATCH(L189,""W""),IF(L18"&amp;"6&lt;0,((-100/L186))*10,((L186/100)*10)),-10))))"),6.438923395445137)</f>
        <v>6.438923395</v>
      </c>
      <c r="P194" s="10">
        <f>IFERROR(__xludf.DUMMYFUNCTION("IF(AND(C194="""",AND(D194="""",AND(E194="""",AND(F194="""",AND(G194="""",AND(H194="""",AND(I194="""",AND(J194="""",AND(K194="""",L194=""""))))))))),"""",(P181+IF(C189="""",0,IF(REGEXMATCH(C189,""W""),IF(C186&lt;0,((-100/C186))*10,((C186/100)*10)),-10))+IF(D1"&amp;"89="""",0,IF(REGEXMATCH(D189,""W""),IF(D186&lt;0,((-100/D186))*10,((D186/100)*10)),-10))+IF(E189="""",0,IF(REGEXMATCH(E189,""W""),IF(E186&lt;0,((-100/E186))*10,((E186/100)*10)),-10))+IF(F189="""",0,IF(REGEXMATCH(F189,""W""),IF(F186&lt;0,((-100/F186))*10,((F186/100"&amp;")*10)),-10))+IF(G189="""",0,IF(REGEXMATCH(G189,""W""),IF(G186&lt;0,((-100/G186))*10,((G186/100)*10)),-10))+IF(H189="""",0,IF(REGEXMATCH(H189,""W""),IF(H186&lt;0,((-100/H186))*10,((H186/100)*10)),-10))+IF(I189="""",0,IF(REGEXMATCH(I189,""W""),IF(I186&lt;0,((-100/I1"&amp;"86))*10,((I186/100)*10)),-10))+IF(J189="""",0,IF(REGEXMATCH(J189,""W""),IF(J186&lt;0,((-100/J186))*10,((J186/100)*10)),-10))+IF(K189="""",0,IF(REGEXMATCH(K189,""W""),IF(K186&lt;0,((-100/K186))*10,((K186/100)*10)),-10))+IF(L189="""",0,IF(REGEXMATCH(L189,""W""),I"&amp;"F(L186&lt;0,((-100/L186))*10,((L186/100)*10)),-10))))"),-144.95254801916985)</f>
        <v>-144.952548</v>
      </c>
      <c r="Q194" s="4"/>
    </row>
    <row r="195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</row>
    <row r="196">
      <c r="A196" s="1"/>
      <c r="B196" s="4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4"/>
      <c r="N196" s="4"/>
      <c r="O196" s="3"/>
      <c r="P196" s="4"/>
      <c r="Q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</row>
    <row r="198">
      <c r="A198" s="3"/>
      <c r="B198" s="4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4"/>
      <c r="N198" s="3"/>
      <c r="O198" s="7"/>
      <c r="P198" s="4"/>
      <c r="Q198" s="4"/>
    </row>
    <row r="199">
      <c r="A199" s="3"/>
      <c r="B199" s="4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4"/>
      <c r="N199" s="3"/>
      <c r="O199" s="10"/>
      <c r="P199" s="4"/>
      <c r="Q199" s="4"/>
    </row>
    <row r="200">
      <c r="A200" s="3"/>
      <c r="B200" s="4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4"/>
      <c r="N200" s="4"/>
      <c r="O200" s="4"/>
      <c r="P200" s="4"/>
      <c r="Q200" s="4"/>
    </row>
    <row r="201">
      <c r="A201" s="3"/>
      <c r="B201" s="4"/>
      <c r="C201" s="5"/>
      <c r="D201" s="5"/>
      <c r="E201" s="5"/>
      <c r="F201" s="4"/>
      <c r="G201" s="11"/>
      <c r="H201" s="5"/>
      <c r="I201" s="5"/>
      <c r="J201" s="5"/>
      <c r="K201" s="5"/>
      <c r="L201" s="5"/>
      <c r="M201" s="4"/>
      <c r="N201" s="4"/>
      <c r="O201" s="3"/>
      <c r="P201" s="3"/>
      <c r="Q201" s="4"/>
    </row>
    <row r="202">
      <c r="A202" s="3"/>
      <c r="B202" s="4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4"/>
      <c r="N202" s="3"/>
      <c r="O202" s="4"/>
      <c r="P202" s="4"/>
      <c r="Q202" s="4"/>
    </row>
    <row r="203">
      <c r="A203" s="1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3"/>
      <c r="O203" s="4"/>
      <c r="P203" s="4"/>
      <c r="Q203" s="4"/>
    </row>
    <row r="204">
      <c r="A204" s="1"/>
      <c r="B204" s="4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4"/>
      <c r="N204" s="3"/>
      <c r="O204" s="4"/>
      <c r="P204" s="4"/>
      <c r="Q204" s="4"/>
    </row>
    <row r="205">
      <c r="A205" s="3"/>
      <c r="B205" s="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13"/>
      <c r="N205" s="3"/>
      <c r="O205" s="4"/>
      <c r="P205" s="4"/>
      <c r="Q205" s="4"/>
    </row>
    <row r="206">
      <c r="A206" s="3"/>
      <c r="B206" s="4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13"/>
      <c r="N206" s="4"/>
      <c r="O206" s="4"/>
      <c r="P206" s="4"/>
      <c r="Q206" s="4"/>
    </row>
    <row r="207">
      <c r="A207" s="16"/>
      <c r="B207" s="4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13"/>
      <c r="N207" s="16"/>
      <c r="O207" s="10"/>
      <c r="P207" s="10"/>
      <c r="Q207" s="4"/>
    </row>
    <row r="208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</row>
    <row r="209">
      <c r="A209" s="1"/>
      <c r="B209" s="4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4"/>
      <c r="N209" s="4"/>
      <c r="O209" s="3"/>
      <c r="P209" s="4"/>
      <c r="Q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</row>
    <row r="211">
      <c r="A211" s="3"/>
      <c r="B211" s="4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4"/>
      <c r="N211" s="3"/>
      <c r="O211" s="7"/>
      <c r="P211" s="4"/>
      <c r="Q211" s="4"/>
    </row>
    <row r="212">
      <c r="A212" s="3"/>
      <c r="B212" s="4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4"/>
      <c r="N212" s="3"/>
      <c r="O212" s="10"/>
      <c r="P212" s="4"/>
      <c r="Q212" s="4"/>
    </row>
    <row r="213">
      <c r="A213" s="3"/>
      <c r="B213" s="4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4"/>
      <c r="N213" s="4"/>
      <c r="O213" s="4"/>
      <c r="P213" s="4"/>
      <c r="Q213" s="4"/>
    </row>
    <row r="214">
      <c r="A214" s="3"/>
      <c r="B214" s="4"/>
      <c r="C214" s="5"/>
      <c r="D214" s="5"/>
      <c r="E214" s="5"/>
      <c r="F214" s="4"/>
      <c r="G214" s="11"/>
      <c r="H214" s="5"/>
      <c r="I214" s="5"/>
      <c r="J214" s="5"/>
      <c r="K214" s="5"/>
      <c r="L214" s="5"/>
      <c r="M214" s="4"/>
      <c r="N214" s="4"/>
      <c r="O214" s="3"/>
      <c r="P214" s="3"/>
      <c r="Q214" s="4"/>
    </row>
    <row r="215">
      <c r="A215" s="3"/>
      <c r="B215" s="4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4"/>
      <c r="N215" s="3"/>
      <c r="O215" s="4"/>
      <c r="P215" s="4"/>
      <c r="Q215" s="4"/>
    </row>
    <row r="216">
      <c r="A216" s="1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3"/>
      <c r="O216" s="4"/>
      <c r="P216" s="4"/>
      <c r="Q216" s="4"/>
    </row>
    <row r="217">
      <c r="A217" s="1"/>
      <c r="B217" s="4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4"/>
      <c r="N217" s="3"/>
      <c r="O217" s="4"/>
      <c r="P217" s="4"/>
      <c r="Q217" s="4"/>
    </row>
    <row r="218">
      <c r="A218" s="3"/>
      <c r="B218" s="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13"/>
      <c r="N218" s="3"/>
      <c r="O218" s="4"/>
      <c r="P218" s="4"/>
      <c r="Q218" s="4"/>
    </row>
    <row r="219">
      <c r="A219" s="3"/>
      <c r="B219" s="4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13"/>
      <c r="N219" s="4"/>
      <c r="O219" s="4"/>
      <c r="P219" s="4"/>
      <c r="Q219" s="4"/>
    </row>
    <row r="220">
      <c r="A220" s="16"/>
      <c r="B220" s="4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13"/>
      <c r="N220" s="16"/>
      <c r="O220" s="10"/>
      <c r="P220" s="10"/>
      <c r="Q220" s="4"/>
    </row>
    <row r="22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</row>
  </sheetData>
  <conditionalFormatting sqref="C7:L7 C20:L20 C33:L33 C46:L46 C59:L59 C72:L72 C85:L85 C98:L98 C111:L111 C124:L124 C137:L137 C150:L150 C163:L163 C176:L176 C189:L189 C202:L202 C215:L215">
    <cfRule type="cellIs" dxfId="0" priority="1" operator="equal">
      <formula>"W"</formula>
    </cfRule>
  </conditionalFormatting>
  <conditionalFormatting sqref="C12:L12 C25:L25 C38:L38 C51:L51 C64:L64 C77:L77 C90:L90 C103:L103 C116:L116 C129:L129 C142:L142 C155:L155 C168:L168 C181:L181 C194:L194 C207:L207 C220:L220">
    <cfRule type="cellIs" dxfId="1" priority="2" operator="lessThan">
      <formula>0</formula>
    </cfRule>
  </conditionalFormatting>
  <conditionalFormatting sqref="C12:L12 C25:L25 C38:L38 C51:L51 C64:L64 C77:L77 C90:L90 C103:L103 C116:L116 C129:L129 C142:L142 C155:L155 C168:L168 C181:L181 C194:L194 C207:L207 C220:L220">
    <cfRule type="cellIs" dxfId="0" priority="3" operator="greaterThan">
      <formula>0</formula>
    </cfRule>
  </conditionalFormatting>
  <conditionalFormatting sqref="C7:L7 C20:L20 C33:L33 C46:L46 C59:L59 C72:L72 C85:L85 C98:L98 C111:L111 C124:L124 C137:L137 C150:L150 C163:L163 C176:L176 C189:L189 C202:L202 C215:L215">
    <cfRule type="cellIs" dxfId="1" priority="4" operator="equal">
      <formula>"L"</formula>
    </cfRule>
  </conditionalFormatting>
  <conditionalFormatting sqref="O12:P12 O25:P25 O38:P38 O51:P51 O64:P64 O77:P77 O90:P90 O103:P103 O116:P116 O129:P129 O142:P142 O155:P155 O168:P168 O181:P181 O194:P194 O207:P207 O220:P220">
    <cfRule type="cellIs" dxfId="0" priority="5" operator="greaterThan">
      <formula>0</formula>
    </cfRule>
  </conditionalFormatting>
  <conditionalFormatting sqref="O12:P12 O25:P25 O38:P38 O51:P51 O64:P64 O77:P77 O90:P90 O103:P103 O116:P116 O129:P129 O142:P142 O155:P155 O168:P168 O181:P181 O194:P194 O207:P207 O220:P220">
    <cfRule type="cellIs" dxfId="1" priority="6" operator="lessThan">
      <formula>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88"/>
    <col customWidth="1" min="2" max="2" width="3.63"/>
    <col customWidth="1" min="3" max="3" width="33.5"/>
    <col customWidth="1" min="4" max="4" width="20.88"/>
    <col customWidth="1" min="5" max="5" width="27.88"/>
    <col customWidth="1" min="6" max="6" width="22.88"/>
    <col customWidth="1" min="7" max="7" width="32.88"/>
    <col customWidth="1" min="8" max="8" width="21.63"/>
    <col customWidth="1" min="9" max="9" width="27.13"/>
    <col customWidth="1" min="10" max="10" width="28.25"/>
    <col customWidth="1" min="11" max="11" width="32.5"/>
    <col customWidth="1" min="12" max="12" width="27.88"/>
    <col customWidth="1" min="13" max="13" width="3.0"/>
    <col customWidth="1" min="14" max="14" width="17.75"/>
    <col customWidth="1" min="15" max="15" width="16.75"/>
    <col customWidth="1" min="16" max="16" width="12.88"/>
    <col customWidth="1" min="17" max="17" width="17.25"/>
    <col customWidth="1" min="19" max="19" width="52.88"/>
    <col customWidth="1" min="21" max="21" width="64.0"/>
  </cols>
  <sheetData>
    <row r="1" ht="16.5" customHeight="1">
      <c r="A1" s="4"/>
      <c r="B1" s="2"/>
      <c r="C1" s="4"/>
      <c r="D1" s="4"/>
      <c r="E1" s="4"/>
      <c r="F1" s="4"/>
      <c r="G1" s="4"/>
      <c r="H1" s="4"/>
      <c r="I1" s="4"/>
      <c r="J1" s="4"/>
      <c r="K1" s="4"/>
      <c r="L1" s="4"/>
      <c r="M1" s="2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ht="16.5" customHeight="1">
      <c r="A2" s="3" t="s">
        <v>14</v>
      </c>
      <c r="B2" s="2"/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2"/>
      <c r="N2" s="4"/>
      <c r="O2" s="3" t="s">
        <v>11</v>
      </c>
      <c r="P2" s="4"/>
      <c r="Q2" s="4"/>
      <c r="R2" s="4"/>
      <c r="S2" s="5"/>
      <c r="T2" s="4"/>
      <c r="U2" s="4"/>
      <c r="V2" s="4"/>
      <c r="W2" s="4"/>
      <c r="X2" s="4"/>
      <c r="Y2" s="4"/>
      <c r="Z2" s="4"/>
      <c r="AA2" s="4"/>
      <c r="AB2" s="4"/>
    </row>
    <row r="3" ht="16.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ht="16.5" customHeight="1">
      <c r="A4" s="3" t="s">
        <v>12</v>
      </c>
      <c r="B4" s="2"/>
      <c r="C4" s="4" t="s">
        <v>25</v>
      </c>
      <c r="D4" s="4" t="s">
        <v>26</v>
      </c>
      <c r="E4" s="4" t="s">
        <v>27</v>
      </c>
      <c r="F4" s="4" t="s">
        <v>28</v>
      </c>
      <c r="G4" s="6" t="s">
        <v>29</v>
      </c>
      <c r="H4" s="4" t="s">
        <v>30</v>
      </c>
      <c r="I4" s="6" t="s">
        <v>31</v>
      </c>
      <c r="J4" s="5" t="s">
        <v>32</v>
      </c>
      <c r="K4" s="5" t="s">
        <v>33</v>
      </c>
      <c r="L4" s="4" t="s">
        <v>34</v>
      </c>
      <c r="M4" s="2"/>
      <c r="N4" s="3" t="s">
        <v>13</v>
      </c>
      <c r="O4" s="7">
        <f>IF(AND(C5="",AND(D5="",AND(E5="",AND(F5="",AND(G5="",AND(H5="",AND(I5="",AND(J5="",AND(K5="",L5=""))))))))),"",IF(((IF(C5="",1,IF(C5&gt;0,(C5/100)+1,(100/((-1)*C5))+1)))*(IF(D5="",1,IF(D5&gt;0,(D5/100)+1,(100/((-1)*D5))+1)))*(IF(E5="",1,IF(E5&gt;0,(E5/100)+1,(100/((-1)*E5))+1)))*(IF(F5="",1,IF(F5&gt;0,(F5/100)+1,(100/((-1)*F5))+1)))*(IF(G5="",1,IF(G5&gt;0,(G5/100)+1,(100/((-1)*G5))+1)))*(IF(H5="",1,IF(H5&gt;0,(H5/100)+1,(100/((-1)*H5))+1)))*(IF(I5="",1,IF(I5&gt;0,(I5/100)+1,(100/((-1)*I5))+1)))*(IF(J5="",1,IF(J5&gt;0,(J5/100)+1,(100/((-1)*J5))+1)))*(IF(K5="",1,IF(K5&gt;0,(K5/100)+1,(100/((-1)*K5))+1)))*(IF(L5="",1,IF(L5&gt;0,(L5/100)+1,(100/((-1)*L5))+1))))&lt;2,((-100)/(((IF(C5="",1,IF(C5&gt;0,(C5/100)+1,(100/((-1)*C5))+1)))*(IF(D5="",1,IF(D5&gt;0,(D5/100)+1,(100/((-1)*D5))+1)))*(IF(E5="",1,IF(E5&gt;0,(E5/100)+1,(100/((-1)*E5))+1)))*(IF(F5="",1,IF(F5&gt;0,(F5/100)+1,(100/((-1)*F5))+1)))*(IF(G5="",1,IF(G5&gt;0,(G5/100)+1,(100/((-1)*G5))+1)))*(IF(H5="",1,IF(H5&gt;0,(H5/100)+1,(100/((-1)*H5))+1)))*(IF(I5="",1,IF(I5&gt;0,(I5/100)+1,(100/((-1)*I5))+1)))*(IF(J5="",1,IF(J5&gt;0,(J5/100)+1,(100/((-1)*J5))+1)))*(IF(K5="",1,IF(K5&gt;0,(K5/100)+1,(100/((-1)*K5))+1)))*(IF(L5="",1,IF(L5&gt;0,(L5/100)+1,(100/((-1)*L5))+1))))-1)),((((IF(C5="",1,IF(C5&gt;0,(C5/100)+1,(100/((-1)*C5))+1)))*(IF(D5="",1,IF(D5&gt;0,(D5/100)+1,(100/((-1)*D5))+1)))*(IF(E5="",1,IF(E5&gt;0,(E5/100)+1,(100/((-1)*E5))+1)))*(IF(F5="",1,IF(F5&gt;0,(F5/100)+1,(100/((-1)*F5))+1)))*(IF(G5="",1,IF(G5&gt;0,(G5/100)+1,(100/((-1)*G5))+1)))*(IF(H5="",1,IF(H5&gt;0,(H5/100)+1,(100/((-1)*H5))+1)))*(IF(I5="",1,IF(I5&gt;0,(I5/100)+1,(100/((-1)*I5))+1)))*(IF(J5="",1,IF(J5&gt;0,(J5/100)+1,(100/((-1)*J5))+1)))*(IF(K5="",1,IF(K5&gt;0,(K5/100)+1,(100/((-1)*K5))+1)))*(IF(L5="",1,IF(L5&gt;0,(L5/100)+1,(100/((-1)*L5))+1))))-1)*(100))))</f>
        <v>26766.65486</v>
      </c>
      <c r="P4" s="4"/>
      <c r="Q4" s="8" t="s">
        <v>35</v>
      </c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ht="16.5" customHeight="1">
      <c r="A5" s="3" t="s">
        <v>13</v>
      </c>
      <c r="B5" s="2"/>
      <c r="C5" s="9">
        <v>-147.0</v>
      </c>
      <c r="D5" s="9">
        <v>110.0</v>
      </c>
      <c r="E5" s="9">
        <v>124.0</v>
      </c>
      <c r="F5" s="9">
        <v>-115.0</v>
      </c>
      <c r="G5" s="9">
        <v>-192.0</v>
      </c>
      <c r="H5" s="9">
        <v>-152.0</v>
      </c>
      <c r="I5" s="9">
        <v>-141.0</v>
      </c>
      <c r="J5" s="9">
        <v>-182.0</v>
      </c>
      <c r="K5" s="9">
        <v>-114.0</v>
      </c>
      <c r="L5" s="9">
        <v>-222.0</v>
      </c>
      <c r="M5" s="2"/>
      <c r="N5" s="3" t="s">
        <v>36</v>
      </c>
      <c r="O5" s="10">
        <f>IF(AND(C5="",AND(D5="",AND(E5="",AND(F5="",AND(G5="",AND(H5="",AND(I5="",AND(J5="",AND(K5="",L5=""))))))))),"",10+IF((IF(((IF(C5="",1,IF(C5&gt;0,(C5/100)+1,(100/((-1)*C5))+1)))*(IF(D5="",1,IF(D5&gt;0,(D5/100)+1,(100/((-1)*D5))+1)))*(IF(E5="",1,IF(E5&gt;0,(E5/100)+1,(100/((-1)*E5))+1)))*(IF(F5="",1,IF(F5&gt;0,(F5/100)+1,(100/((-1)*F5))+1)))*(IF(G5="",1,IF(G5&gt;0,(G5/100)+1,(100/((-1)*G5))+1)))*(IF(H5="",1,IF(H5&gt;0,(H5/100)+1,(100/((-1)*H5))+1)))*(IF(I5="",1,IF(I5&gt;0,(I5/100)+1,(100/((-1)*I5))+1)))*(IF(J5="",1,IF(J5&gt;0,(J5/100)+1,(100/((-1)*J5))+1)))*(IF(K5="",1,IF(K5&gt;0,(K5/100)+1,(100/((-1)*K5))+1)))*(IF(L5="",1,IF(L5&gt;0,(L5/100)+1,(100/((-1)*L5))+1))))&lt;2,((-100)/(((IF(C5="",1,IF(C5&gt;0,(C5/100)+1,(100/((-1)*C5))+1)))*(IF(D5="",1,IF(D5&gt;0,(D5/100)+1,(100/((-1)*D5))+1)))*(IF(E5="",1,IF(E5&gt;0,(E5/100)+1,(100/((-1)*E5))+1)))*(IF(F5="",1,IF(F5&gt;0,(F5/100)+1,(100/((-1)*F5))+1)))*(IF(G5="",1,IF(G5&gt;0,(G5/100)+1,(100/((-1)*G5))+1)))*(IF(H5="",1,IF(H5&gt;0,(H5/100)+1,(100/((-1)*H5))+1)))*(IF(I5="",1,IF(I5&gt;0,(I5/100)+1,(100/((-1)*I5))+1)))*(IF(J5="",1,IF(J5&gt;0,(J5/100)+1,(100/((-1)*J5))+1)))*(IF(K5="",1,IF(K5&gt;0,(K5/100)+1,(100/((-1)*K5))+1)))*(IF(L5="",1,IF(L5&gt;0,(L5/100)+1,(100/((-1)*L5))+1))))-1)),((((IF(C5="",1,IF(C5&gt;0,(C5/100)+1,(100/((-1)*C5))+1)))*(IF(D5="",1,IF(D5&gt;0,(D5/100)+1,(100/((-1)*D5))+1)))*(IF(E5="",1,IF(E5&gt;0,(E5/100)+1,(100/((-1)*E5))+1)))*(IF(F5="",1,IF(F5&gt;0,(F5/100)+1,(100/((-1)*F5))+1)))*(IF(G5="",1,IF(G5&gt;0,(G5/100)+1,(100/((-1)*G5))+1)))*(IF(H5="",1,IF(H5&gt;0,(H5/100)+1,(100/((-1)*H5))+1)))*(IF(I5="",1,IF(I5&gt;0,(I5/100)+1,(100/((-1)*I5))+1)))*(IF(J5="",1,IF(J5&gt;0,(J5/100)+1,(100/((-1)*J5))+1)))*(IF(K5="",1,IF(K5&gt;0,(K5/100)+1,(100/((-1)*K5))+1)))*(IF(L5="",1,IF(L5&gt;0,(L5/100)+1,(100/((-1)*L5))+1))))-1)*(100))))&lt;0,(((-100)/((IF(((IF(C5="",1,IF(C5&gt;0,(C5/100)+1,(100/((-1)*C5))+1)))*(IF(D5="",1,IF(D5&gt;0,(D5/100)+1,(100/((-1)*D5))+1)))*(IF(E5="",1,IF(E5&gt;0,(E5/100)+1,(100/((-1)*E5))+1)))*(IF(F5="",1,IF(F5&gt;0,(F5/100)+1,(100/((-1)*F5))+1)))*(IF(G5="",1,IF(G5&gt;0,(G5/100)+1,(100/((-1)*G5))+1)))*(IF(H5="",1,IF(H5&gt;0,(H5/100)+1,(100/((-1)*H5))+1)))*(IF(I5="",1,IF(I5&gt;0,(I5/100)+1,(100/((-1)*I5))+1)))*(IF(J5="",1,IF(J5&gt;0,(J5/100)+1,(100/((-1)*J5))+1)))*(IF(K5="",1,IF(K5&gt;0,(K5/100)+1,(100/((-1)*K5))+1)))*(IF(L5="",1,IF(L5&gt;0,(L5/100)+1,(100/((-1)*L5))+1))))&lt;2,((-100)/(((IF(C5="",1,IF(C5&gt;0,(C5/100)+1,(100/((-1)*C5))+1)))*(IF(D5="",1,IF(D5&gt;0,(D5/100)+1,(100/((-1)*D5))+1)))*(IF(E5="",1,IF(E5&gt;0,(E5/100)+1,(100/((-1)*E5))+1)))*(IF(F5="",1,IF(F5&gt;0,(F5/100)+1,(100/((-1)*F5))+1)))*(IF(G5="",1,IF(G5&gt;0,(G5/100)+1,(100/((-1)*G5))+1)))*(IF(H5="",1,IF(H5&gt;0,(H5/100)+1,(100/((-1)*H5))+1)))*(IF(I5="",1,IF(I5&gt;0,(I5/100)+1,(100/((-1)*I5))+1)))*(IF(J5="",1,IF(J5&gt;0,(J5/100)+1,(100/((-1)*J5))+1)))*(IF(K5="",1,IF(K5&gt;0,(K5/100)+1,(100/((-1)*K5))+1)))*(IF(L5="",1,IF(L5&gt;0,(L5/100)+1,(100/((-1)*L5))+1))))-1)),((((IF(C5="",1,IF(C5&gt;0,(C5/100)+1,(100/((-1)*C5))+1)))*(IF(D5="",1,IF(D5&gt;0,(D5/100)+1,(100/((-1)*D5))+1)))*(IF(E5="",1,IF(E5&gt;0,(E5/100)+1,(100/((-1)*E5))+1)))*(IF(F5="",1,IF(F5&gt;0,(F5/100)+1,(100/((-1)*F5))+1)))*(IF(G5="",1,IF(G5&gt;0,(G5/100)+1,(100/((-1)*G5))+1)))*(IF(H5="",1,IF(H5&gt;0,(H5/100)+1,(100/((-1)*H5))+1)))*(IF(I5="",1,IF(I5&gt;0,(I5/100)+1,(100/((-1)*I5))+1)))*(IF(J5="",1,IF(J5&gt;0,(J5/100)+1,(100/((-1)*J5))+1)))*(IF(K5="",1,IF(K5&gt;0,(K5/100)+1,(100/((-1)*K5))+1)))*(IF(L5="",1,IF(L5&gt;0,(L5/100)+1,(100/((-1)*L5))+1))))-1)*(100))))))*10),(((IF(((IF(C5="",1,IF(C5&gt;0,(C5/100)+1,(100/((-1)*C5))+1)))*(IF(D5="",1,IF(D5&gt;0,(D5/100)+1,(100/((-1)*D5))+1)))*(IF(E5="",1,IF(E5&gt;0,(E5/100)+1,(100/((-1)*E5))+1)))*(IF(F5="",1,IF(F5&gt;0,(F5/100)+1,(100/((-1)*F5))+1)))*(IF(G5="",1,IF(G5&gt;0,(G5/100)+1,(100/((-1)*G5))+1)))*(IF(H5="",1,IF(H5&gt;0,(H5/100)+1,(100/((-1)*H5))+1)))*(IF(I5="",1,IF(I5&gt;0,(I5/100)+1,(100/((-1)*I5))+1)))*(IF(J5="",1,IF(J5&gt;0,(J5/100)+1,(100/((-1)*J5))+1)))*(IF(K5="",1,IF(K5&gt;0,(K5/100)+1,(100/((-1)*K5))+1)))*(IF(L5="",1,IF(L5&gt;0,(L5/100)+1,(100/((-1)*L5))+1))))&lt;2,((-100)/(((IF(C5="",1,IF(C5&gt;0,(C5/100)+1,(100/((-1)*C5))+1)))*(IF(D5="",1,IF(D5&gt;0,(D5/100)+1,(100/((-1)*D5))+1)))*(IF(E5="",1,IF(E5&gt;0,(E5/100)+1,(100/((-1)*E5))+1)))*(IF(F5="",1,IF(F5&gt;0,(F5/100)+1,(100/((-1)*F5))+1)))*(IF(G5="",1,IF(G5&gt;0,(G5/100)+1,(100/((-1)*G5))+1)))*(IF(H5="",1,IF(H5&gt;0,(H5/100)+1,(100/((-1)*H5))+1)))*(IF(I5="",1,IF(I5&gt;0,(I5/100)+1,(100/((-1)*I5))+1)))*(IF(J5="",1,IF(J5&gt;0,(J5/100)+1,(100/((-1)*J5))+1)))*(IF(K5="",1,IF(K5&gt;0,(K5/100)+1,(100/((-1)*K5))+1)))*(IF(L5="",1,IF(L5&gt;0,(L5/100)+1,(100/((-1)*L5))+1))))-1)),((((IF(C5="",1,IF(C5&gt;0,(C5/100)+1,(100/((-1)*C5))+1)))*(IF(D5="",1,IF(D5&gt;0,(D5/100)+1,(100/((-1)*D5))+1)))*(IF(E5="",1,IF(E5&gt;0,(E5/100)+1,(100/((-1)*E5))+1)))*(IF(F5="",1,IF(F5&gt;0,(F5/100)+1,(100/((-1)*F5))+1)))*(IF(G5="",1,IF(G5&gt;0,(G5/100)+1,(100/((-1)*G5))+1)))*(IF(H5="",1,IF(H5&gt;0,(H5/100)+1,(100/((-1)*H5))+1)))*(IF(I5="",1,IF(I5&gt;0,(I5/100)+1,(100/((-1)*I5))+1)))*(IF(J5="",1,IF(J5&gt;0,(J5/100)+1,(100/((-1)*J5))+1)))*(IF(K5="",1,IF(K5&gt;0,(K5/100)+1,(100/((-1)*K5))+1)))*(IF(L5="",1,IF(L5&gt;0,(L5/100)+1,(100/((-1)*L5))+1))))-1)*(100))))/100)*10)))</f>
        <v>2686.665486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ht="16.5" customHeight="1">
      <c r="A6" s="3" t="s">
        <v>37</v>
      </c>
      <c r="B6" s="2"/>
      <c r="C6" s="4" t="s">
        <v>55</v>
      </c>
      <c r="D6" s="4" t="s">
        <v>58</v>
      </c>
      <c r="E6" s="4" t="s">
        <v>61</v>
      </c>
      <c r="F6" s="4" t="s">
        <v>63</v>
      </c>
      <c r="G6" s="4" t="s">
        <v>64</v>
      </c>
      <c r="H6" s="4" t="s">
        <v>66</v>
      </c>
      <c r="I6" s="4" t="s">
        <v>67</v>
      </c>
      <c r="J6" s="4" t="s">
        <v>68</v>
      </c>
      <c r="K6" s="4" t="s">
        <v>69</v>
      </c>
      <c r="L6" s="4" t="s">
        <v>70</v>
      </c>
      <c r="M6" s="2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ht="16.5" customHeight="1">
      <c r="A7" s="3" t="s">
        <v>48</v>
      </c>
      <c r="B7" s="2"/>
      <c r="C7" s="4" t="s">
        <v>71</v>
      </c>
      <c r="D7" s="4" t="s">
        <v>72</v>
      </c>
      <c r="E7" s="4" t="s">
        <v>73</v>
      </c>
      <c r="F7" s="4" t="s">
        <v>74</v>
      </c>
      <c r="G7" s="4" t="s">
        <v>75</v>
      </c>
      <c r="H7" s="4" t="s">
        <v>76</v>
      </c>
      <c r="I7" s="4" t="s">
        <v>77</v>
      </c>
      <c r="J7" s="4" t="s">
        <v>78</v>
      </c>
      <c r="K7" s="4" t="s">
        <v>79</v>
      </c>
      <c r="L7" s="4" t="s">
        <v>80</v>
      </c>
      <c r="M7" s="2"/>
      <c r="N7" s="4"/>
      <c r="O7" s="3" t="s">
        <v>56</v>
      </c>
      <c r="P7" s="3" t="s">
        <v>57</v>
      </c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 ht="16.5" customHeight="1">
      <c r="A8" s="3" t="s">
        <v>59</v>
      </c>
      <c r="B8" s="2"/>
      <c r="C8" s="9" t="s">
        <v>60</v>
      </c>
      <c r="D8" s="9" t="s">
        <v>60</v>
      </c>
      <c r="E8" s="9" t="s">
        <v>60</v>
      </c>
      <c r="F8" s="9" t="s">
        <v>60</v>
      </c>
      <c r="G8" s="9" t="s">
        <v>60</v>
      </c>
      <c r="H8" s="9" t="s">
        <v>60</v>
      </c>
      <c r="I8" s="9" t="s">
        <v>60</v>
      </c>
      <c r="J8" s="9" t="s">
        <v>62</v>
      </c>
      <c r="K8" s="9" t="s">
        <v>62</v>
      </c>
      <c r="L8" s="9" t="s">
        <v>60</v>
      </c>
      <c r="M8" s="2"/>
      <c r="N8" s="3" t="s">
        <v>65</v>
      </c>
      <c r="O8" s="12" t="str">
        <f>IFERROR(__xludf.DUMMYFUNCTION("IF(OR(COUNTA(C5:L5) = 0, COUNTA(C8:L8) = 0), """", IFERROR(TEXTJOIN("", "", TRUE, FILTER(C2:L2, (C8:L8 = ""W"") * (C5:L5 = MAX(FILTER(C5:L5, C8:L8 = ""W""))))), """"))"),"Clayton")</f>
        <v>Clayton</v>
      </c>
      <c r="P8" s="12" t="str">
        <f>IFERROR(__xludf.DUMMYFUNCTION("IF(COUNTA(C13:L13) = 0, """", IFERROR(TEXTJOIN("", "", TRUE, FILTER(C2:L2, C13:L13 = MAX(C13:L13))), """"))"),"Clayton")</f>
        <v>Clayton</v>
      </c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ht="16.5" customHeight="1">
      <c r="A9" s="1" t="s">
        <v>81</v>
      </c>
      <c r="B9" s="2"/>
      <c r="C9" s="5">
        <f t="shared" ref="C9:L9" si="1">IF(C8="","",COUNTIF(C8,"W"))</f>
        <v>1</v>
      </c>
      <c r="D9" s="5">
        <f t="shared" si="1"/>
        <v>1</v>
      </c>
      <c r="E9" s="5">
        <f t="shared" si="1"/>
        <v>1</v>
      </c>
      <c r="F9" s="5">
        <f t="shared" si="1"/>
        <v>1</v>
      </c>
      <c r="G9" s="5">
        <f t="shared" si="1"/>
        <v>1</v>
      </c>
      <c r="H9" s="5">
        <f t="shared" si="1"/>
        <v>1</v>
      </c>
      <c r="I9" s="5">
        <f t="shared" si="1"/>
        <v>1</v>
      </c>
      <c r="J9" s="5">
        <f t="shared" si="1"/>
        <v>0</v>
      </c>
      <c r="K9" s="5">
        <f t="shared" si="1"/>
        <v>0</v>
      </c>
      <c r="L9" s="5">
        <f t="shared" si="1"/>
        <v>1</v>
      </c>
      <c r="M9" s="2"/>
      <c r="N9" s="3" t="s">
        <v>82</v>
      </c>
      <c r="O9" s="4" t="str">
        <f>IFERROR(__xludf.DUMMYFUNCTION("IF(OR(COUNTA(C5:L5) = 0, COUNTA(C8:L8) = 0), """", IFERROR(TEXTJOIN("", "", TRUE, FILTER(C2:L2, (C8:L8 = ""L"") * (C5:L5 = MIN(FILTER(C5:L5, C8:L8 = ""L""))))), """"))"),"Tanner")</f>
        <v>Tanner</v>
      </c>
      <c r="P9" s="12" t="str">
        <f>IFERROR(__xludf.DUMMYFUNCTION("IF(COUNTA(C13:L13) = 0, """", IFERROR(TEXTJOIN("", "", TRUE, FILTER(C2:L2, C13:L13 = MIN(C13:L13))), """"))"),"Tanner, Taylon")</f>
        <v>Tanner, Taylon</v>
      </c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 ht="16.5" customHeight="1">
      <c r="A10" s="1" t="s">
        <v>83</v>
      </c>
      <c r="B10" s="2"/>
      <c r="C10" s="4">
        <f t="shared" ref="C10:L10" si="2">IF(C8="","",COUNTIF(C8,"L"))</f>
        <v>0</v>
      </c>
      <c r="D10" s="4">
        <f t="shared" si="2"/>
        <v>0</v>
      </c>
      <c r="E10" s="4">
        <f t="shared" si="2"/>
        <v>0</v>
      </c>
      <c r="F10" s="4">
        <f t="shared" si="2"/>
        <v>0</v>
      </c>
      <c r="G10" s="4">
        <f t="shared" si="2"/>
        <v>0</v>
      </c>
      <c r="H10" s="4">
        <f t="shared" si="2"/>
        <v>0</v>
      </c>
      <c r="I10" s="4">
        <f t="shared" si="2"/>
        <v>0</v>
      </c>
      <c r="J10" s="4">
        <f t="shared" si="2"/>
        <v>1</v>
      </c>
      <c r="K10" s="4">
        <f t="shared" si="2"/>
        <v>1</v>
      </c>
      <c r="L10" s="4">
        <f t="shared" si="2"/>
        <v>0</v>
      </c>
      <c r="M10" s="2"/>
      <c r="N10" s="3" t="s">
        <v>84</v>
      </c>
      <c r="O10" s="12" t="str">
        <f>IFERROR(__xludf.DUMMYFUNCTION("IF(COUNTA(C5:L5) = 0, """", IFERROR(TEXTJOIN("", "", TRUE, FILTER(C2:L2, C5:L5 = MAX(C5:L5))), """"))"),"Clayton")</f>
        <v>Clayton</v>
      </c>
      <c r="P10" s="4" t="str">
        <f>IFERROR(__xludf.DUMMYFUNCTION("IF(COUNTA(C5:L5) = 0, """", IFERROR(TEXTJOIN("", "", TRUE, FILTER(C2:L2, C12:L12 = MAX(C12:L12))), """"))"),"Clayton")</f>
        <v>Clayton</v>
      </c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ht="16.5" customHeight="1">
      <c r="A11" s="3" t="s">
        <v>85</v>
      </c>
      <c r="B11" s="2"/>
      <c r="C11" s="13">
        <f t="shared" ref="C11:L11" si="3">IF(C8="","",(C9/(C9+C10)))</f>
        <v>1</v>
      </c>
      <c r="D11" s="13">
        <f t="shared" si="3"/>
        <v>1</v>
      </c>
      <c r="E11" s="13">
        <f t="shared" si="3"/>
        <v>1</v>
      </c>
      <c r="F11" s="13">
        <f t="shared" si="3"/>
        <v>1</v>
      </c>
      <c r="G11" s="13">
        <f t="shared" si="3"/>
        <v>1</v>
      </c>
      <c r="H11" s="13">
        <f t="shared" si="3"/>
        <v>1</v>
      </c>
      <c r="I11" s="13">
        <f t="shared" si="3"/>
        <v>1</v>
      </c>
      <c r="J11" s="13">
        <f t="shared" si="3"/>
        <v>0</v>
      </c>
      <c r="K11" s="13">
        <f t="shared" si="3"/>
        <v>0</v>
      </c>
      <c r="L11" s="13">
        <f t="shared" si="3"/>
        <v>1</v>
      </c>
      <c r="M11" s="14"/>
      <c r="N11" s="3" t="s">
        <v>86</v>
      </c>
      <c r="O11" s="4" t="str">
        <f>IFERROR(__xludf.DUMMYFUNCTION("IF(COUNTA(C5:L5) = 0, """", IFERROR(TEXTJOIN("", "", TRUE, FILTER(C2:L2, C5:L5 = MIN(C5:L5))), """"))"),"Trey")</f>
        <v>Trey</v>
      </c>
      <c r="P11" s="4" t="str">
        <f>IFERROR(__xludf.DUMMYFUNCTION("IF(COUNTA(C5:L5) = 0, """", IFERROR(TEXTJOIN("", "", TRUE, FILTER(C2:L2, C12:L12 = MIN(C12:L12))), """"))"),"Trey")</f>
        <v>Trey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ht="16.5" customHeight="1">
      <c r="A12" s="3" t="s">
        <v>87</v>
      </c>
      <c r="B12" s="2"/>
      <c r="C12" s="15">
        <f t="shared" ref="C12:L12" si="4">C5</f>
        <v>-147</v>
      </c>
      <c r="D12" s="15">
        <f t="shared" si="4"/>
        <v>110</v>
      </c>
      <c r="E12" s="15">
        <f t="shared" si="4"/>
        <v>124</v>
      </c>
      <c r="F12" s="15">
        <f t="shared" si="4"/>
        <v>-115</v>
      </c>
      <c r="G12" s="15">
        <f t="shared" si="4"/>
        <v>-192</v>
      </c>
      <c r="H12" s="15">
        <f t="shared" si="4"/>
        <v>-152</v>
      </c>
      <c r="I12" s="15">
        <f t="shared" si="4"/>
        <v>-141</v>
      </c>
      <c r="J12" s="15">
        <f t="shared" si="4"/>
        <v>-182</v>
      </c>
      <c r="K12" s="15">
        <f t="shared" si="4"/>
        <v>-114</v>
      </c>
      <c r="L12" s="15">
        <f t="shared" si="4"/>
        <v>-222</v>
      </c>
      <c r="M12" s="14"/>
      <c r="N12" s="4"/>
      <c r="O12" s="12"/>
      <c r="P12" s="12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>
      <c r="A13" s="16" t="s">
        <v>88</v>
      </c>
      <c r="B13" s="2"/>
      <c r="C13" s="10">
        <f>IFERROR(__xludf.DUMMYFUNCTION("IF(C8="""","""",IF(REGEXMATCH(C8,""W""),IF(C5&lt;0,((-100/C5))*10,((C5/100)*10)),-10))"),6.802721088435374)</f>
        <v>6.802721088</v>
      </c>
      <c r="D13" s="10">
        <f>IFERROR(__xludf.DUMMYFUNCTION("IF(D8="""","""",IF(REGEXMATCH(D8,""W""),IF(D5&lt;0,((-100/D5))*10,((D5/100)*10)),-10))"),11.0)</f>
        <v>11</v>
      </c>
      <c r="E13" s="10">
        <f>IFERROR(__xludf.DUMMYFUNCTION("IF(E8="""","""",IF(REGEXMATCH(E8,""W""),IF(E5&lt;0,((-100/E5))*10,((E5/100)*10)),-10))"),12.4)</f>
        <v>12.4</v>
      </c>
      <c r="F13" s="10">
        <f>IFERROR(__xludf.DUMMYFUNCTION("IF(F8="""","""",IF(REGEXMATCH(F8,""W""),IF(F5&lt;0,((-100/F5))*10,((F5/100)*10)),-10))"),8.695652173913043)</f>
        <v>8.695652174</v>
      </c>
      <c r="G13" s="10">
        <f>IFERROR(__xludf.DUMMYFUNCTION("IF(G8="""","""",IF(REGEXMATCH(G8,""W""),IF(G5&lt;0,((-100/G5))*10,((G5/100)*10)),-10))"),5.208333333333334)</f>
        <v>5.208333333</v>
      </c>
      <c r="H13" s="10">
        <f>IFERROR(__xludf.DUMMYFUNCTION("IF(H8="""","""",IF(REGEXMATCH(H8,""W""),IF(H5&lt;0,((-100/H5))*10,((H5/100)*10)),-10))"),6.578947368421053)</f>
        <v>6.578947368</v>
      </c>
      <c r="I13" s="10">
        <f>IFERROR(__xludf.DUMMYFUNCTION("IF(I8="""","""",IF(REGEXMATCH(I8,""W""),IF(I5&lt;0,((-100/I5))*10,((I5/100)*10)),-10))"),7.092198581560284)</f>
        <v>7.092198582</v>
      </c>
      <c r="J13" s="10">
        <f>IFERROR(__xludf.DUMMYFUNCTION("IF(J8="""","""",IF(REGEXMATCH(J8,""W""),IF(J5&lt;0,((-100/J5))*10,((J5/100)*10)),-10))"),-10.0)</f>
        <v>-10</v>
      </c>
      <c r="K13" s="10">
        <f>IFERROR(__xludf.DUMMYFUNCTION("IF(K8="""","""",IF(REGEXMATCH(K8,""W""),IF(K5&lt;0,((-100/K5))*10,((K5/100)*10)),-10))"),-10.0)</f>
        <v>-10</v>
      </c>
      <c r="L13" s="10">
        <f>IFERROR(__xludf.DUMMYFUNCTION("IF(L8="""","""",IF(REGEXMATCH(L8,""W""),IF(L5&lt;0,((-100/L5))*10,((L5/100)*10)),-10))"),4.504504504504505)</f>
        <v>4.504504505</v>
      </c>
      <c r="M13" s="14"/>
      <c r="N13" s="16" t="s">
        <v>89</v>
      </c>
      <c r="O13" s="10">
        <f>sum(C13:L13)</f>
        <v>42.28235705</v>
      </c>
      <c r="P13" s="10">
        <f>O13</f>
        <v>42.28235705</v>
      </c>
      <c r="Q13" s="4"/>
      <c r="R13" s="4"/>
      <c r="S13" s="4"/>
      <c r="T13" s="4"/>
      <c r="U13" s="5"/>
      <c r="V13" s="4"/>
      <c r="W13" s="4"/>
      <c r="X13" s="4"/>
      <c r="Y13" s="4"/>
      <c r="Z13" s="4"/>
      <c r="AA13" s="4"/>
      <c r="AB13" s="4"/>
    </row>
    <row r="14" ht="16.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4"/>
      <c r="S14" s="4"/>
      <c r="T14" s="4"/>
      <c r="U14" s="17"/>
      <c r="V14" s="4"/>
      <c r="W14" s="4"/>
      <c r="X14" s="4"/>
      <c r="Y14" s="4"/>
      <c r="Z14" s="4"/>
      <c r="AA14" s="4"/>
      <c r="AB14" s="4"/>
    </row>
    <row r="15" ht="16.5" customHeight="1">
      <c r="A15" s="3" t="s">
        <v>90</v>
      </c>
      <c r="B15" s="2"/>
      <c r="C15" s="3" t="s">
        <v>1</v>
      </c>
      <c r="D15" s="3" t="s">
        <v>2</v>
      </c>
      <c r="E15" s="3" t="s">
        <v>3</v>
      </c>
      <c r="F15" s="3" t="s">
        <v>4</v>
      </c>
      <c r="G15" s="3" t="s">
        <v>5</v>
      </c>
      <c r="H15" s="3" t="s">
        <v>6</v>
      </c>
      <c r="I15" s="3" t="s">
        <v>7</v>
      </c>
      <c r="J15" s="3" t="s">
        <v>8</v>
      </c>
      <c r="K15" s="3" t="s">
        <v>9</v>
      </c>
      <c r="L15" s="3" t="s">
        <v>10</v>
      </c>
      <c r="M15" s="2"/>
      <c r="N15" s="4"/>
      <c r="O15" s="3" t="s">
        <v>11</v>
      </c>
      <c r="P15" s="4"/>
      <c r="Q15" s="4"/>
      <c r="R15" s="4"/>
      <c r="S15" s="4"/>
      <c r="T15" s="4"/>
      <c r="U15" s="5"/>
      <c r="V15" s="4"/>
      <c r="W15" s="4"/>
      <c r="X15" s="4"/>
      <c r="Y15" s="4"/>
      <c r="Z15" s="4"/>
      <c r="AA15" s="4"/>
      <c r="AB15" s="4"/>
    </row>
    <row r="16" ht="16.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4"/>
      <c r="S16" s="4"/>
      <c r="T16" s="4"/>
      <c r="U16" s="5"/>
      <c r="V16" s="4"/>
      <c r="W16" s="4"/>
      <c r="X16" s="4"/>
      <c r="Y16" s="4"/>
      <c r="Z16" s="4"/>
      <c r="AA16" s="4"/>
      <c r="AB16" s="4"/>
    </row>
    <row r="17" ht="16.5" customHeight="1">
      <c r="A17" s="3" t="s">
        <v>12</v>
      </c>
      <c r="B17" s="2"/>
      <c r="C17" s="12" t="s">
        <v>95</v>
      </c>
      <c r="D17" s="12" t="s">
        <v>97</v>
      </c>
      <c r="E17" s="12" t="s">
        <v>99</v>
      </c>
      <c r="F17" s="12" t="s">
        <v>101</v>
      </c>
      <c r="G17" s="20" t="s">
        <v>103</v>
      </c>
      <c r="H17" s="12" t="s">
        <v>107</v>
      </c>
      <c r="I17" s="20" t="s">
        <v>108</v>
      </c>
      <c r="J17" s="12" t="s">
        <v>109</v>
      </c>
      <c r="K17" s="12" t="s">
        <v>110</v>
      </c>
      <c r="L17" s="12" t="s">
        <v>111</v>
      </c>
      <c r="M17" s="2"/>
      <c r="N17" s="3" t="s">
        <v>13</v>
      </c>
      <c r="O17" s="7">
        <f>IF(AND(C18="",AND(D18="",AND(E18="",AND(F18="",AND(G18="",AND(H18="",AND(I18="",AND(J18="",AND(K18="",L18=""))))))))),"",IF(((IF(C18="",1,IF(C18&gt;0,(C18/100)+1,(100/((-1)*C18))+1)))*(IF(D18="",1,IF(D18&gt;0,(D18/100)+1,(100/((-1)*D18))+1)))*(IF(E18="",1,IF(E18&gt;0,(E18/100)+1,(100/((-1)*E18))+1)))*(IF(F18="",1,IF(F18&gt;0,(F18/100)+1,(100/((-1)*F18))+1)))*(IF(G18="",1,IF(G18&gt;0,(G18/100)+1,(100/((-1)*G18))+1)))*(IF(H18="",1,IF(H18&gt;0,(H18/100)+1,(100/((-1)*H18))+1)))*(IF(I18="",1,IF(I18&gt;0,(I18/100)+1,(100/((-1)*I18))+1)))*(IF(J18="",1,IF(J18&gt;0,(J18/100)+1,(100/((-1)*J18))+1)))*(IF(K18="",1,IF(K18&gt;0,(K18/100)+1,(100/((-1)*K18))+1)))*(IF(L18="",1,IF(L18&gt;0,(L18/100)+1,(100/((-1)*L18))+1))))&lt;2,((-100)/(((IF(C18="",1,IF(C18&gt;0,(C18/100)+1,(100/((-1)*C18))+1)))*(IF(D18="",1,IF(D18&gt;0,(D18/100)+1,(100/((-1)*D18))+1)))*(IF(E18="",1,IF(E18&gt;0,(E18/100)+1,(100/((-1)*E18))+1)))*(IF(F18="",1,IF(F18&gt;0,(F18/100)+1,(100/((-1)*F18))+1)))*(IF(G18="",1,IF(G18&gt;0,(G18/100)+1,(100/((-1)*G18))+1)))*(IF(H18="",1,IF(H18&gt;0,(H18/100)+1,(100/((-1)*H18))+1)))*(IF(I18="",1,IF(I18&gt;0,(I18/100)+1,(100/((-1)*I18))+1)))*(IF(J18="",1,IF(J18&gt;0,(J18/100)+1,(100/((-1)*J18))+1)))*(IF(K18="",1,IF(K18&gt;0,(K18/100)+1,(100/((-1)*K18))+1)))*(IF(L18="",1,IF(L18&gt;0,(L18/100)+1,(100/((-1)*L18))+1))))-1)),((((IF(C18="",1,IF(C18&gt;0,(C18/100)+1,(100/((-1)*C18))+1)))*(IF(D18="",1,IF(D18&gt;0,(D18/100)+1,(100/((-1)*D18))+1)))*(IF(E18="",1,IF(E18&gt;0,(E18/100)+1,(100/((-1)*E18))+1)))*(IF(F18="",1,IF(F18&gt;0,(F18/100)+1,(100/((-1)*F18))+1)))*(IF(G18="",1,IF(G18&gt;0,(G18/100)+1,(100/((-1)*G18))+1)))*(IF(H18="",1,IF(H18&gt;0,(H18/100)+1,(100/((-1)*H18))+1)))*(IF(I18="",1,IF(I18&gt;0,(I18/100)+1,(100/((-1)*I18))+1)))*(IF(J18="",1,IF(J18&gt;0,(J18/100)+1,(100/((-1)*J18))+1)))*(IF(K18="",1,IF(K18&gt;0,(K18/100)+1,(100/((-1)*K18))+1)))*(IF(L18="",1,IF(L18&gt;0,(L18/100)+1,(100/((-1)*L18))+1))))-1)*(100))))</f>
        <v>49509.39784</v>
      </c>
      <c r="P17" s="4"/>
      <c r="Q17" s="8" t="s">
        <v>35</v>
      </c>
      <c r="R17" s="4"/>
      <c r="S17" s="4"/>
      <c r="T17" s="4"/>
      <c r="U17" s="5"/>
      <c r="V17" s="4"/>
      <c r="W17" s="4"/>
      <c r="X17" s="4"/>
      <c r="Y17" s="4"/>
      <c r="Z17" s="4"/>
      <c r="AA17" s="4"/>
      <c r="AB17" s="4"/>
    </row>
    <row r="18" ht="16.5" customHeight="1">
      <c r="A18" s="3" t="s">
        <v>13</v>
      </c>
      <c r="B18" s="2"/>
      <c r="C18" s="21">
        <v>-159.0</v>
      </c>
      <c r="D18" s="21">
        <v>-238.0</v>
      </c>
      <c r="E18" s="21">
        <v>-159.0</v>
      </c>
      <c r="F18" s="21">
        <v>-145.0</v>
      </c>
      <c r="G18" s="21">
        <v>-120.0</v>
      </c>
      <c r="H18" s="21">
        <v>102.0</v>
      </c>
      <c r="I18" s="21">
        <v>148.0</v>
      </c>
      <c r="J18" s="21">
        <v>105.0</v>
      </c>
      <c r="K18" s="21">
        <v>124.0</v>
      </c>
      <c r="L18" s="21">
        <v>-118.0</v>
      </c>
      <c r="M18" s="2">
        <v>1.0</v>
      </c>
      <c r="N18" s="3" t="s">
        <v>36</v>
      </c>
      <c r="O18" s="10">
        <f>IF(AND(C18="",AND(D18="",AND(E18="",AND(F18="",AND(G18="",AND(H18="",AND(I18="",AND(J18="",AND(K18="",L18=""))))))))),"",10+IF((IF(((IF(C18="",1,IF(C18&gt;0,(C18/100)+1,(100/((-1)*C18))+1)))*(IF(D18="",1,IF(D18&gt;0,(D18/100)+1,(100/((-1)*D18))+1)))*(IF(E18="",1,IF(E18&gt;0,(E18/100)+1,(100/((-1)*E18))+1)))*(IF(F18="",1,IF(F18&gt;0,(F18/100)+1,(100/((-1)*F18))+1)))*(IF(G18="",1,IF(G18&gt;0,(G18/100)+1,(100/((-1)*G18))+1)))*(IF(H18="",1,IF(H18&gt;0,(H18/100)+1,(100/((-1)*H18))+1)))*(IF(I18="",1,IF(I18&gt;0,(I18/100)+1,(100/((-1)*I18))+1)))*(IF(J18="",1,IF(J18&gt;0,(J18/100)+1,(100/((-1)*J18))+1)))*(IF(K18="",1,IF(K18&gt;0,(K18/100)+1,(100/((-1)*K18))+1)))*(IF(L18="",1,IF(L18&gt;0,(L18/100)+1,(100/((-1)*L18))+1))))&lt;2,((-100)/(((IF(C18="",1,IF(C18&gt;0,(C18/100)+1,(100/((-1)*C18))+1)))*(IF(D18="",1,IF(D18&gt;0,(D18/100)+1,(100/((-1)*D18))+1)))*(IF(E18="",1,IF(E18&gt;0,(E18/100)+1,(100/((-1)*E18))+1)))*(IF(F18="",1,IF(F18&gt;0,(F18/100)+1,(100/((-1)*F18))+1)))*(IF(G18="",1,IF(G18&gt;0,(G18/100)+1,(100/((-1)*G18))+1)))*(IF(H18="",1,IF(H18&gt;0,(H18/100)+1,(100/((-1)*H18))+1)))*(IF(I18="",1,IF(I18&gt;0,(I18/100)+1,(100/((-1)*I18))+1)))*(IF(J18="",1,IF(J18&gt;0,(J18/100)+1,(100/((-1)*J18))+1)))*(IF(K18="",1,IF(K18&gt;0,(K18/100)+1,(100/((-1)*K18))+1)))*(IF(L18="",1,IF(L18&gt;0,(L18/100)+1,(100/((-1)*L18))+1))))-1)),((((IF(C18="",1,IF(C18&gt;0,(C18/100)+1,(100/((-1)*C18))+1)))*(IF(D18="",1,IF(D18&gt;0,(D18/100)+1,(100/((-1)*D18))+1)))*(IF(E18="",1,IF(E18&gt;0,(E18/100)+1,(100/((-1)*E18))+1)))*(IF(F18="",1,IF(F18&gt;0,(F18/100)+1,(100/((-1)*F18))+1)))*(IF(G18="",1,IF(G18&gt;0,(G18/100)+1,(100/((-1)*G18))+1)))*(IF(H18="",1,IF(H18&gt;0,(H18/100)+1,(100/((-1)*H18))+1)))*(IF(I18="",1,IF(I18&gt;0,(I18/100)+1,(100/((-1)*I18))+1)))*(IF(J18="",1,IF(J18&gt;0,(J18/100)+1,(100/((-1)*J18))+1)))*(IF(K18="",1,IF(K18&gt;0,(K18/100)+1,(100/((-1)*K18))+1)))*(IF(L18="",1,IF(L18&gt;0,(L18/100)+1,(100/((-1)*L18))+1))))-1)*(100))))&lt;0,(((-100)/((IF(((IF(C18="",1,IF(C18&gt;0,(C18/100)+1,(100/((-1)*C18))+1)))*(IF(D18="",1,IF(D18&gt;0,(D18/100)+1,(100/((-1)*D18))+1)))*(IF(E18="",1,IF(E18&gt;0,(E18/100)+1,(100/((-1)*E18))+1)))*(IF(F18="",1,IF(F18&gt;0,(F18/100)+1,(100/((-1)*F18))+1)))*(IF(G18="",1,IF(G18&gt;0,(G18/100)+1,(100/((-1)*G18))+1)))*(IF(H18="",1,IF(H18&gt;0,(H18/100)+1,(100/((-1)*H18))+1)))*(IF(I18="",1,IF(I18&gt;0,(I18/100)+1,(100/((-1)*I18))+1)))*(IF(J18="",1,IF(J18&gt;0,(J18/100)+1,(100/((-1)*J18))+1)))*(IF(K18="",1,IF(K18&gt;0,(K18/100)+1,(100/((-1)*K18))+1)))*(IF(L18="",1,IF(L18&gt;0,(L18/100)+1,(100/((-1)*L18))+1))))&lt;2,((-100)/(((IF(C18="",1,IF(C18&gt;0,(C18/100)+1,(100/((-1)*C18))+1)))*(IF(D18="",1,IF(D18&gt;0,(D18/100)+1,(100/((-1)*D18))+1)))*(IF(E18="",1,IF(E18&gt;0,(E18/100)+1,(100/((-1)*E18))+1)))*(IF(F18="",1,IF(F18&gt;0,(F18/100)+1,(100/((-1)*F18))+1)))*(IF(G18="",1,IF(G18&gt;0,(G18/100)+1,(100/((-1)*G18))+1)))*(IF(H18="",1,IF(H18&gt;0,(H18/100)+1,(100/((-1)*H18))+1)))*(IF(I18="",1,IF(I18&gt;0,(I18/100)+1,(100/((-1)*I18))+1)))*(IF(J18="",1,IF(J18&gt;0,(J18/100)+1,(100/((-1)*J18))+1)))*(IF(K18="",1,IF(K18&gt;0,(K18/100)+1,(100/((-1)*K18))+1)))*(IF(L18="",1,IF(L18&gt;0,(L18/100)+1,(100/((-1)*L18))+1))))-1)),((((IF(C18="",1,IF(C18&gt;0,(C18/100)+1,(100/((-1)*C18))+1)))*(IF(D18="",1,IF(D18&gt;0,(D18/100)+1,(100/((-1)*D18))+1)))*(IF(E18="",1,IF(E18&gt;0,(E18/100)+1,(100/((-1)*E18))+1)))*(IF(F18="",1,IF(F18&gt;0,(F18/100)+1,(100/((-1)*F18))+1)))*(IF(G18="",1,IF(G18&gt;0,(G18/100)+1,(100/((-1)*G18))+1)))*(IF(H18="",1,IF(H18&gt;0,(H18/100)+1,(100/((-1)*H18))+1)))*(IF(I18="",1,IF(I18&gt;0,(I18/100)+1,(100/((-1)*I18))+1)))*(IF(J18="",1,IF(J18&gt;0,(J18/100)+1,(100/((-1)*J18))+1)))*(IF(K18="",1,IF(K18&gt;0,(K18/100)+1,(100/((-1)*K18))+1)))*(IF(L18="",1,IF(L18&gt;0,(L18/100)+1,(100/((-1)*L18))+1))))-1)*(100))))))*10),(((IF(((IF(C18="",1,IF(C18&gt;0,(C18/100)+1,(100/((-1)*C18))+1)))*(IF(D18="",1,IF(D18&gt;0,(D18/100)+1,(100/((-1)*D18))+1)))*(IF(E18="",1,IF(E18&gt;0,(E18/100)+1,(100/((-1)*E18))+1)))*(IF(F18="",1,IF(F18&gt;0,(F18/100)+1,(100/((-1)*F18))+1)))*(IF(G18="",1,IF(G18&gt;0,(G18/100)+1,(100/((-1)*G18))+1)))*(IF(H18="",1,IF(H18&gt;0,(H18/100)+1,(100/((-1)*H18))+1)))*(IF(I18="",1,IF(I18&gt;0,(I18/100)+1,(100/((-1)*I18))+1)))*(IF(J18="",1,IF(J18&gt;0,(J18/100)+1,(100/((-1)*J18))+1)))*(IF(K18="",1,IF(K18&gt;0,(K18/100)+1,(100/((-1)*K18))+1)))*(IF(L18="",1,IF(L18&gt;0,(L18/100)+1,(100/((-1)*L18))+1))))&lt;2,((-100)/(((IF(C18="",1,IF(C18&gt;0,(C18/100)+1,(100/((-1)*C18))+1)))*(IF(D18="",1,IF(D18&gt;0,(D18/100)+1,(100/((-1)*D18))+1)))*(IF(E18="",1,IF(E18&gt;0,(E18/100)+1,(100/((-1)*E18))+1)))*(IF(F18="",1,IF(F18&gt;0,(F18/100)+1,(100/((-1)*F18))+1)))*(IF(G18="",1,IF(G18&gt;0,(G18/100)+1,(100/((-1)*G18))+1)))*(IF(H18="",1,IF(H18&gt;0,(H18/100)+1,(100/((-1)*H18))+1)))*(IF(I18="",1,IF(I18&gt;0,(I18/100)+1,(100/((-1)*I18))+1)))*(IF(J18="",1,IF(J18&gt;0,(J18/100)+1,(100/((-1)*J18))+1)))*(IF(K18="",1,IF(K18&gt;0,(K18/100)+1,(100/((-1)*K18))+1)))*(IF(L18="",1,IF(L18&gt;0,(L18/100)+1,(100/((-1)*L18))+1))))-1)),((((IF(C18="",1,IF(C18&gt;0,(C18/100)+1,(100/((-1)*C18))+1)))*(IF(D18="",1,IF(D18&gt;0,(D18/100)+1,(100/((-1)*D18))+1)))*(IF(E18="",1,IF(E18&gt;0,(E18/100)+1,(100/((-1)*E18))+1)))*(IF(F18="",1,IF(F18&gt;0,(F18/100)+1,(100/((-1)*F18))+1)))*(IF(G18="",1,IF(G18&gt;0,(G18/100)+1,(100/((-1)*G18))+1)))*(IF(H18="",1,IF(H18&gt;0,(H18/100)+1,(100/((-1)*H18))+1)))*(IF(I18="",1,IF(I18&gt;0,(I18/100)+1,(100/((-1)*I18))+1)))*(IF(J18="",1,IF(J18&gt;0,(J18/100)+1,(100/((-1)*J18))+1)))*(IF(K18="",1,IF(K18&gt;0,(K18/100)+1,(100/((-1)*K18))+1)))*(IF(L18="",1,IF(L18&gt;0,(L18/100)+1,(100/((-1)*L18))+1))))-1)*(100))))/100)*10)))</f>
        <v>4960.939784</v>
      </c>
      <c r="P18" s="4"/>
      <c r="Q18" s="4"/>
      <c r="R18" s="4"/>
      <c r="S18" s="22"/>
      <c r="T18" s="4"/>
      <c r="U18" s="23"/>
      <c r="V18" s="4"/>
      <c r="W18" s="4"/>
      <c r="X18" s="4"/>
      <c r="Y18" s="4"/>
      <c r="Z18" s="4"/>
      <c r="AA18" s="4"/>
      <c r="AB18" s="4"/>
    </row>
    <row r="19" ht="16.5" customHeight="1">
      <c r="A19" s="3" t="s">
        <v>37</v>
      </c>
      <c r="B19" s="2"/>
      <c r="C19" s="12" t="s">
        <v>131</v>
      </c>
      <c r="D19" s="12" t="s">
        <v>44</v>
      </c>
      <c r="E19" s="12" t="s">
        <v>132</v>
      </c>
      <c r="F19" s="12" t="s">
        <v>133</v>
      </c>
      <c r="G19" s="12" t="s">
        <v>134</v>
      </c>
      <c r="H19" s="12" t="s">
        <v>135</v>
      </c>
      <c r="I19" s="12" t="s">
        <v>136</v>
      </c>
      <c r="J19" s="12" t="s">
        <v>137</v>
      </c>
      <c r="K19" s="12" t="s">
        <v>138</v>
      </c>
      <c r="L19" s="12" t="s">
        <v>139</v>
      </c>
      <c r="M19" s="2"/>
      <c r="N19" s="4"/>
      <c r="O19" s="4"/>
      <c r="P19" s="4"/>
      <c r="Q19" s="4"/>
      <c r="R19" s="4"/>
      <c r="S19" s="4"/>
      <c r="T19" s="4"/>
      <c r="U19" s="5"/>
      <c r="V19" s="4"/>
      <c r="W19" s="4"/>
      <c r="X19" s="4"/>
      <c r="Y19" s="4"/>
      <c r="Z19" s="4"/>
      <c r="AA19" s="4"/>
      <c r="AB19" s="4"/>
    </row>
    <row r="20" ht="16.5" customHeight="1">
      <c r="A20" s="3" t="s">
        <v>48</v>
      </c>
      <c r="B20" s="2"/>
      <c r="C20" s="12" t="s">
        <v>140</v>
      </c>
      <c r="D20" s="12" t="s">
        <v>141</v>
      </c>
      <c r="E20" s="12" t="s">
        <v>142</v>
      </c>
      <c r="F20" s="12" t="s">
        <v>143</v>
      </c>
      <c r="G20" s="12" t="s">
        <v>144</v>
      </c>
      <c r="H20" s="12" t="s">
        <v>145</v>
      </c>
      <c r="I20" s="12" t="s">
        <v>146</v>
      </c>
      <c r="J20" s="12" t="s">
        <v>147</v>
      </c>
      <c r="K20" s="12" t="s">
        <v>73</v>
      </c>
      <c r="L20" s="12" t="s">
        <v>148</v>
      </c>
      <c r="M20" s="2"/>
      <c r="N20" s="4"/>
      <c r="O20" s="3" t="s">
        <v>56</v>
      </c>
      <c r="P20" s="3" t="s">
        <v>57</v>
      </c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ht="16.5" customHeight="1">
      <c r="A21" s="3" t="s">
        <v>59</v>
      </c>
      <c r="B21" s="2"/>
      <c r="C21" s="9" t="s">
        <v>60</v>
      </c>
      <c r="D21" s="9" t="s">
        <v>60</v>
      </c>
      <c r="E21" s="9" t="s">
        <v>60</v>
      </c>
      <c r="F21" s="9" t="s">
        <v>60</v>
      </c>
      <c r="G21" s="9" t="s">
        <v>62</v>
      </c>
      <c r="H21" s="9" t="s">
        <v>60</v>
      </c>
      <c r="I21" s="9" t="s">
        <v>62</v>
      </c>
      <c r="J21" s="9" t="s">
        <v>60</v>
      </c>
      <c r="K21" s="9" t="s">
        <v>60</v>
      </c>
      <c r="L21" s="9" t="s">
        <v>62</v>
      </c>
      <c r="M21" s="2"/>
      <c r="N21" s="3" t="s">
        <v>65</v>
      </c>
      <c r="O21" s="12" t="str">
        <f>IFERROR(__xludf.DUMMYFUNCTION("IF(OR(COUNTA(C18:L18) = 0, COUNTA(C21:L21) = 0), """", IFERROR(TEXTJOIN("", "", TRUE, FILTER(C15:L15, (C21:L21 = ""W"") * (C18:L18 = MAX(FILTER(C18:L18, C21:L21 = ""W""))))), """"))"),"Taylon")</f>
        <v>Taylon</v>
      </c>
      <c r="P21" s="12" t="str">
        <f>IFERROR(__xludf.DUMMYFUNCTION("IF(COUNTA(C26:L26) = 0, """", IFERROR(TEXTJOIN("", "", TRUE, FILTER(C15:L15, C26:L26 = MAX(C26:L26))), """"))"),"Clayton")</f>
        <v>Clayton</v>
      </c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ht="16.5" customHeight="1">
      <c r="A22" s="1" t="s">
        <v>81</v>
      </c>
      <c r="B22" s="2"/>
      <c r="C22" s="4">
        <f t="shared" ref="C22:L22" si="5">IF(OR(C18="",C21=""),"",C9+COUNTIF(C21,"W"))</f>
        <v>2</v>
      </c>
      <c r="D22" s="4">
        <f t="shared" si="5"/>
        <v>2</v>
      </c>
      <c r="E22" s="4">
        <f t="shared" si="5"/>
        <v>2</v>
      </c>
      <c r="F22" s="4">
        <f t="shared" si="5"/>
        <v>2</v>
      </c>
      <c r="G22" s="4">
        <f t="shared" si="5"/>
        <v>1</v>
      </c>
      <c r="H22" s="4">
        <f t="shared" si="5"/>
        <v>2</v>
      </c>
      <c r="I22" s="4">
        <f t="shared" si="5"/>
        <v>1</v>
      </c>
      <c r="J22" s="4">
        <f t="shared" si="5"/>
        <v>1</v>
      </c>
      <c r="K22" s="4">
        <f t="shared" si="5"/>
        <v>1</v>
      </c>
      <c r="L22" s="4">
        <f t="shared" si="5"/>
        <v>1</v>
      </c>
      <c r="M22" s="2"/>
      <c r="N22" s="3" t="s">
        <v>82</v>
      </c>
      <c r="O22" s="4" t="str">
        <f>IFERROR(__xludf.DUMMYFUNCTION("IF(OR(COUNTA(C18:L18) = 0, COUNTA(C21:L21) = 0), """", IFERROR(TEXTJOIN("", "", TRUE, FILTER(C15:L15, (C21:L21 = ""L"") * (C18:L18 = MIN(FILTER(C18:L18, C21:L21 = ""L""))))), """"))"),"Hunter")</f>
        <v>Hunter</v>
      </c>
      <c r="P22" s="12" t="str">
        <f>IFERROR(__xludf.DUMMYFUNCTION("IF(COUNTA(C26:L26) = 0, """", IFERROR(TEXTJOIN("", "", TRUE, FILTER(C15:L15, C26:L26 = MIN(C26:L26))), """"))"),"Trey")</f>
        <v>Trey</v>
      </c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ht="16.5" customHeight="1">
      <c r="A23" s="1" t="s">
        <v>83</v>
      </c>
      <c r="B23" s="2"/>
      <c r="C23" s="22">
        <f t="shared" ref="C23:L23" si="6">IF(OR(C18="",C21=""),"",C10+COUNTIF(C21,"L"))</f>
        <v>0</v>
      </c>
      <c r="D23" s="22">
        <f t="shared" si="6"/>
        <v>0</v>
      </c>
      <c r="E23" s="22">
        <f t="shared" si="6"/>
        <v>0</v>
      </c>
      <c r="F23" s="22">
        <f t="shared" si="6"/>
        <v>0</v>
      </c>
      <c r="G23" s="22">
        <f t="shared" si="6"/>
        <v>1</v>
      </c>
      <c r="H23" s="22">
        <f t="shared" si="6"/>
        <v>0</v>
      </c>
      <c r="I23" s="22">
        <f t="shared" si="6"/>
        <v>1</v>
      </c>
      <c r="J23" s="22">
        <f t="shared" si="6"/>
        <v>1</v>
      </c>
      <c r="K23" s="22">
        <f t="shared" si="6"/>
        <v>1</v>
      </c>
      <c r="L23" s="22">
        <f t="shared" si="6"/>
        <v>1</v>
      </c>
      <c r="M23" s="2"/>
      <c r="N23" s="3" t="s">
        <v>84</v>
      </c>
      <c r="O23" s="12" t="str">
        <f>IFERROR(__xludf.DUMMYFUNCTION("IF(COUNTA(C18:L18) = 0, """", IFERROR(TEXTJOIN("", "", TRUE, FILTER(C15:L15, C18:L18 = MAX(C18:L18))), """"))"),"Nick")</f>
        <v>Nick</v>
      </c>
      <c r="P23" s="4" t="str">
        <f>IFERROR(__xludf.DUMMYFUNCTION("IF(COUNTA(C18:L18) = 0, """", IFERROR(TEXTJOIN("", "", TRUE, FILTER(C15:L15, C25:L25 = MAX(C25:L25))), """"))"),"Nick")</f>
        <v>Nick</v>
      </c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ht="16.5" customHeight="1">
      <c r="A24" s="3" t="s">
        <v>85</v>
      </c>
      <c r="B24" s="2"/>
      <c r="C24" s="24">
        <f t="shared" ref="C24:L24" si="7">IF(OR(C18="",C21=""),"",(C22/(C22+C23)))</f>
        <v>1</v>
      </c>
      <c r="D24" s="24">
        <f t="shared" si="7"/>
        <v>1</v>
      </c>
      <c r="E24" s="24">
        <f t="shared" si="7"/>
        <v>1</v>
      </c>
      <c r="F24" s="24">
        <f t="shared" si="7"/>
        <v>1</v>
      </c>
      <c r="G24" s="24">
        <f t="shared" si="7"/>
        <v>0.5</v>
      </c>
      <c r="H24" s="24">
        <f t="shared" si="7"/>
        <v>1</v>
      </c>
      <c r="I24" s="24">
        <f t="shared" si="7"/>
        <v>0.5</v>
      </c>
      <c r="J24" s="24">
        <f t="shared" si="7"/>
        <v>0.5</v>
      </c>
      <c r="K24" s="24">
        <f t="shared" si="7"/>
        <v>0.5</v>
      </c>
      <c r="L24" s="24">
        <f t="shared" si="7"/>
        <v>0.5</v>
      </c>
      <c r="M24" s="14"/>
      <c r="N24" s="3" t="s">
        <v>86</v>
      </c>
      <c r="O24" s="4" t="str">
        <f>IFERROR(__xludf.DUMMYFUNCTION("IF(COUNTA(C18:L18) = 0, """", IFERROR(TEXTJOIN("", "", TRUE, FILTER(C15:L15, C18:L18 = MIN(C18:L18))), """"))"),"Carson")</f>
        <v>Carson</v>
      </c>
      <c r="P24" s="4" t="str">
        <f>IFERROR(__xludf.DUMMYFUNCTION("IF(COUNTA(C18:L18) = 0, """", IFERROR(TEXTJOIN("", "", TRUE, FILTER(C15:L15, C25:L25 = MIN(C25:L25))), """"))"),"Trey")</f>
        <v>Trey</v>
      </c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ht="16.5" customHeight="1">
      <c r="A25" s="3" t="s">
        <v>87</v>
      </c>
      <c r="B25" s="2"/>
      <c r="C25" s="25">
        <f t="shared" ref="C25:L25" si="8">IF(C18="","",IF(((IF(C18 &lt;0,((-100/C18)+1),((C18/100)+1))+(IF(C12&lt;0,((-100/C12)+1),((C12/100)+1)))*(C9+C10))/(C9+C10+1))&lt;2,(-100/(((IF(C18 &lt;0,((-100/C18)+1),((C18/100)+1))+(IF(C12&lt;0,((-100/C12)+1),((C12/100)+1)))*(C9+C10))/(C9+C10+1))-1)),(((IF(C18 &lt;0,((-100/C18)+1),((C18/100)+1))+(IF(C12&lt;0,((-100/C12)+1),((C12/100)+1)))*(C9+C10))/(C9+C10+1))-1)*100))</f>
        <v>-152.7647059</v>
      </c>
      <c r="D25" s="25">
        <f t="shared" si="8"/>
        <v>-131.5644002</v>
      </c>
      <c r="E25" s="25">
        <f t="shared" si="8"/>
        <v>-107.0130569</v>
      </c>
      <c r="F25" s="25">
        <f t="shared" si="8"/>
        <v>-128.2692308</v>
      </c>
      <c r="G25" s="25">
        <f t="shared" si="8"/>
        <v>-147.6923077</v>
      </c>
      <c r="H25" s="25">
        <f t="shared" si="8"/>
        <v>-119.1969887</v>
      </c>
      <c r="I25" s="25">
        <f t="shared" si="8"/>
        <v>109.4609929</v>
      </c>
      <c r="J25" s="25">
        <f t="shared" si="8"/>
        <v>-125.0429406</v>
      </c>
      <c r="K25" s="25">
        <f t="shared" si="8"/>
        <v>105.8596491</v>
      </c>
      <c r="L25" s="25">
        <f t="shared" si="8"/>
        <v>-154.0941176</v>
      </c>
      <c r="M25" s="14"/>
      <c r="N25" s="4"/>
      <c r="O25" s="12"/>
      <c r="P25" s="12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>
      <c r="A26" s="16" t="s">
        <v>88</v>
      </c>
      <c r="B26" s="2"/>
      <c r="C26" s="26">
        <f>IFERROR(__xludf.DUMMYFUNCTION("IF(OR(C18="""",C21=""""),"""",IF(REGEXMATCH(C21,""W""),IF(C18&lt;0,((-100/C18))*10+C13,((C18/100)*10+C13)),-10+C13))"),13.092029264536002)</f>
        <v>13.09202926</v>
      </c>
      <c r="D26" s="26">
        <f>IFERROR(__xludf.DUMMYFUNCTION("IF(OR(D18="""",D21=""""),"""",IF(REGEXMATCH(D21,""W""),IF(D18&lt;0,((-100/D18))*10+D13,((D18/100)*10+D13)),-10+D13))"),15.201680672268907)</f>
        <v>15.20168067</v>
      </c>
      <c r="E26" s="26">
        <f>IFERROR(__xludf.DUMMYFUNCTION("IF(OR(E18="""",E21=""""),"""",IF(REGEXMATCH(E21,""W""),IF(E18&lt;0,((-100/E18))*10+E13,((E18/100)*10+E13)),-10+E13))"),18.689308176100628)</f>
        <v>18.68930818</v>
      </c>
      <c r="F26" s="26">
        <f>IFERROR(__xludf.DUMMYFUNCTION("IF(OR(F18="""",F21=""""),"""",IF(REGEXMATCH(F21,""W""),IF(F18&lt;0,((-100/F18))*10+F13,((F18/100)*10+F13)),-10+F13))"),15.592203898050975)</f>
        <v>15.5922039</v>
      </c>
      <c r="G26" s="26">
        <f>IFERROR(__xludf.DUMMYFUNCTION("IF(OR(G18="""",G21=""""),"""",IF(REGEXMATCH(G21,""W""),IF(G18&lt;0,((-100/G18))*10+G13,((G18/100)*10+G13)),-10+G13))"),-4.791666666666666)</f>
        <v>-4.791666667</v>
      </c>
      <c r="H26" s="26">
        <f>IFERROR(__xludf.DUMMYFUNCTION("IF(OR(H18="""",H21=""""),"""",IF(REGEXMATCH(H21,""W""),IF(H18&lt;0,((-100/H18))*10+H13,((H18/100)*10+H13)),-10+H13))"),16.77894736842105)</f>
        <v>16.77894737</v>
      </c>
      <c r="I26" s="26">
        <f>IFERROR(__xludf.DUMMYFUNCTION("IF(OR(I18="""",I21=""""),"""",IF(REGEXMATCH(I21,""W""),IF(I18&lt;0,((-100/I18))*10+I13,((I18/100)*10+I13)),-10+I13))"),-2.907801418439716)</f>
        <v>-2.907801418</v>
      </c>
      <c r="J26" s="26">
        <f>IFERROR(__xludf.DUMMYFUNCTION("IF(OR(J18="""",J21=""""),"""",IF(REGEXMATCH(J21,""W""),IF(J18&lt;0,((-100/J18))*10+J13,((J18/100)*10+J13)),-10+J13))"),0.5)</f>
        <v>0.5</v>
      </c>
      <c r="K26" s="26">
        <f>IFERROR(__xludf.DUMMYFUNCTION("IF(OR(K18="""",K21=""""),"""",IF(REGEXMATCH(K21,""W""),IF(K18&lt;0,((-100/K18))*10+K13,((K18/100)*10+K13)),-10+K13))"),2.4000000000000004)</f>
        <v>2.4</v>
      </c>
      <c r="L26" s="26">
        <f>IFERROR(__xludf.DUMMYFUNCTION("IF(OR(L18="""",L21=""""),"""",IF(REGEXMATCH(L21,""W""),IF(L18&lt;0,((-100/L18))*10+L13,((L18/100)*10+L13)),-10+L13))"),-5.495495495495495)</f>
        <v>-5.495495495</v>
      </c>
      <c r="M26" s="14"/>
      <c r="N26" s="16" t="s">
        <v>89</v>
      </c>
      <c r="O26" s="10">
        <f>IFERROR(__xludf.DUMMYFUNCTION("IF(AND(C26="""",AND(D26="""",AND(E26="""",AND(F26="""",AND(G26="""",AND(H26="""",AND(I26="""",AND(J26="""",AND(K26="""",L26=""""))))))))),"""",(IF(C21="""",0,IF(REGEXMATCH(C21,""W""),IF(C18&lt;0,((-100/C18))*10,((C18/100)*10)),-10))+IF(D21="""",0,IF(REGEXMAT"&amp;"CH(D21,""W""),IF(D18&lt;0,((-100/D18))*10,((D18/100)*10)),-10))+IF(E21="""",0,IF(REGEXMATCH(E21,""W""),IF(E18&lt;0,((-100/E18))*10,((E18/100)*10)),-10))+IF(F21="""",0,IF(REGEXMATCH(F21,""W""),IF(F18&lt;0,((-100/F18))*10,((F18/100)*10)),-10))+IF(G21="""",0,IF(REGEX"&amp;"MATCH(G21,""W""),IF(G18&lt;0,((-100/G18))*10,((G18/100)*10)),-10))+IF(H21="""",0,IF(REGEXMATCH(H21,""W""),IF(H18&lt;0,((-100/H18))*10,((H18/100)*10)),-10))+IF(I21="""",0,IF(REGEXMATCH(I21,""W""),IF(I18&lt;0,((-100/I18))*10,((I18/100)*10)),-10))+IF(J21="""",0,IF(RE"&amp;"GEXMATCH(J21,""W""),IF(J18&lt;0,((-100/J18))*10,((J18/100)*10)),-10))+IF(K21="""",0,IF(REGEXMATCH(K21,""W""),IF(K18&lt;0,((-100/K18))*10,((K18/100)*10)),-10))+IF(L21="""",0,IF(REGEXMATCH(L21,""W""),IF(L18&lt;0,((-100/L18))*10,((L18/100)*10)),-10))))"),26.776848748608096)</f>
        <v>26.77684875</v>
      </c>
      <c r="P26" s="10">
        <f>IFERROR(__xludf.DUMMYFUNCTION("IF(AND(C26="""",AND(D26="""",AND(E26="""",AND(F26="""",AND(G26="""",AND(H26="""",AND(I26="""",AND(J26="""",AND(K26="""",L26=""""))))))))),"""",(P13+IF(C21="""",0,IF(REGEXMATCH(C21,""W""),IF(C18&lt;0,((-100/C18))*10,((C18/100)*10)),-10))+IF(D21="""",0,IF(REGE"&amp;"XMATCH(D21,""W""),IF(D18&lt;0,((-100/D18))*10,((D18/100)*10)),-10))+IF(E21="""",0,IF(REGEXMATCH(E21,""W""),IF(E18&lt;0,((-100/E18))*10,((E18/100)*10)),-10))+IF(F21="""",0,IF(REGEXMATCH(F21,""W""),IF(F18&lt;0,((-100/F18))*10,((F18/100)*10)),-10))+IF(G21="""",0,IF(R"&amp;"EGEXMATCH(G21,""W""),IF(G18&lt;0,((-100/G18))*10,((G18/100)*10)),-10))+IF(H21="""",0,IF(REGEXMATCH(H21,""W""),IF(H18&lt;0,((-100/H18))*10,((H18/100)*10)),-10))+IF(I21="""",0,IF(REGEXMATCH(I21,""W""),IF(I18&lt;0,((-100/I18))*10,((I18/100)*10)),-10))+IF(J21="""",0,I"&amp;"F(REGEXMATCH(J21,""W""),IF(J18&lt;0,((-100/J18))*10,((J18/100)*10)),-10))+IF(K21="""",0,IF(REGEXMATCH(K21,""W""),IF(K18&lt;0,((-100/K18))*10,((K18/100)*10)),-10))+IF(L21="""",0,IF(REGEXMATCH(L21,""W""),IF(L18&lt;0,((-100/L18))*10,((L18/100)*10)),-10))))"),69.0592057987757)</f>
        <v>69.0592058</v>
      </c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ht="16.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ht="16.5" customHeight="1">
      <c r="A28" s="3" t="s">
        <v>160</v>
      </c>
      <c r="B28" s="2"/>
      <c r="C28" s="3" t="s">
        <v>1</v>
      </c>
      <c r="D28" s="3" t="s">
        <v>2</v>
      </c>
      <c r="E28" s="3" t="s">
        <v>3</v>
      </c>
      <c r="F28" s="3" t="s">
        <v>4</v>
      </c>
      <c r="G28" s="3" t="s">
        <v>5</v>
      </c>
      <c r="H28" s="3" t="s">
        <v>6</v>
      </c>
      <c r="I28" s="3" t="s">
        <v>7</v>
      </c>
      <c r="J28" s="3" t="s">
        <v>8</v>
      </c>
      <c r="K28" s="3" t="s">
        <v>9</v>
      </c>
      <c r="L28" s="3" t="s">
        <v>10</v>
      </c>
      <c r="M28" s="2"/>
      <c r="N28" s="4"/>
      <c r="O28" s="3" t="s">
        <v>11</v>
      </c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ht="16.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ht="16.5" customHeight="1">
      <c r="A30" s="3" t="s">
        <v>12</v>
      </c>
      <c r="B30" s="2"/>
      <c r="C30" s="18" t="s">
        <v>161</v>
      </c>
      <c r="D30" s="12" t="s">
        <v>162</v>
      </c>
      <c r="E30" s="5" t="s">
        <v>163</v>
      </c>
      <c r="F30" s="12" t="s">
        <v>164</v>
      </c>
      <c r="G30" s="19" t="s">
        <v>165</v>
      </c>
      <c r="H30" s="12" t="s">
        <v>166</v>
      </c>
      <c r="I30" s="5" t="s">
        <v>167</v>
      </c>
      <c r="J30" s="12" t="s">
        <v>168</v>
      </c>
      <c r="K30" s="12" t="s">
        <v>169</v>
      </c>
      <c r="L30" s="12" t="s">
        <v>170</v>
      </c>
      <c r="M30" s="2"/>
      <c r="N30" s="3" t="s">
        <v>13</v>
      </c>
      <c r="O30" s="7">
        <f>IF(AND(C31="",AND(D31="",AND(E31="",AND(F31="",AND(G31="",AND(H31="",AND(I31="",AND(J31="",AND(K31="",L31=""))))))))),"",IF(((IF(C31="",1,IF(C31&gt;0,(C31/100)+1,(100/((-1)*C31))+1)))*(IF(D31="",1,IF(D31&gt;0,(D31/100)+1,(100/((-1)*D31))+1)))*(IF(E31="",1,IF(E31&gt;0,(E31/100)+1,(100/((-1)*E31))+1)))*(IF(F31="",1,IF(F31&gt;0,(F31/100)+1,(100/((-1)*F31))+1)))*(IF(G31="",1,IF(G31&gt;0,(G31/100)+1,(100/((-1)*G31))+1)))*(IF(H31="",1,IF(H31&gt;0,(H31/100)+1,(100/((-1)*H31))+1)))*(IF(I31="",1,IF(I31&gt;0,(I31/100)+1,(100/((-1)*I31))+1)))*(IF(J31="",1,IF(J31&gt;0,(J31/100)+1,(100/((-1)*J31))+1)))*(IF(K31="",1,IF(K31&gt;0,(K31/100)+1,(100/((-1)*K31))+1)))*(IF(L31="",1,IF(L31&gt;0,(L31/100)+1,(100/((-1)*L31))+1))))&lt;2,((-100)/(((IF(C31="",1,IF(C31&gt;0,(C31/100)+1,(100/((-1)*C31))+1)))*(IF(D31="",1,IF(D31&gt;0,(D31/100)+1,(100/((-1)*D31))+1)))*(IF(E31="",1,IF(E31&gt;0,(E31/100)+1,(100/((-1)*E31))+1)))*(IF(F31="",1,IF(F31&gt;0,(F31/100)+1,(100/((-1)*F31))+1)))*(IF(G31="",1,IF(G31&gt;0,(G31/100)+1,(100/((-1)*G31))+1)))*(IF(H31="",1,IF(H31&gt;0,(H31/100)+1,(100/((-1)*H31))+1)))*(IF(I31="",1,IF(I31&gt;0,(I31/100)+1,(100/((-1)*I31))+1)))*(IF(J31="",1,IF(J31&gt;0,(J31/100)+1,(100/((-1)*J31))+1)))*(IF(K31="",1,IF(K31&gt;0,(K31/100)+1,(100/((-1)*K31))+1)))*(IF(L31="",1,IF(L31&gt;0,(L31/100)+1,(100/((-1)*L31))+1))))-1)),((((IF(C31="",1,IF(C31&gt;0,(C31/100)+1,(100/((-1)*C31))+1)))*(IF(D31="",1,IF(D31&gt;0,(D31/100)+1,(100/((-1)*D31))+1)))*(IF(E31="",1,IF(E31&gt;0,(E31/100)+1,(100/((-1)*E31))+1)))*(IF(F31="",1,IF(F31&gt;0,(F31/100)+1,(100/((-1)*F31))+1)))*(IF(G31="",1,IF(G31&gt;0,(G31/100)+1,(100/((-1)*G31))+1)))*(IF(H31="",1,IF(H31&gt;0,(H31/100)+1,(100/((-1)*H31))+1)))*(IF(I31="",1,IF(I31&gt;0,(I31/100)+1,(100/((-1)*I31))+1)))*(IF(J31="",1,IF(J31&gt;0,(J31/100)+1,(100/((-1)*J31))+1)))*(IF(K31="",1,IF(K31&gt;0,(K31/100)+1,(100/((-1)*K31))+1)))*(IF(L31="",1,IF(L31&gt;0,(L31/100)+1,(100/((-1)*L31))+1))))-1)*(100))))</f>
        <v>36144.99622</v>
      </c>
      <c r="P30" s="4"/>
      <c r="Q30" s="8" t="s">
        <v>35</v>
      </c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ht="16.5" customHeight="1">
      <c r="A31" s="3" t="s">
        <v>13</v>
      </c>
      <c r="B31" s="2"/>
      <c r="C31" s="18">
        <v>-127.0</v>
      </c>
      <c r="D31" s="18">
        <v>-222.0</v>
      </c>
      <c r="E31" s="18">
        <v>-118.0</v>
      </c>
      <c r="F31" s="18">
        <v>102.0</v>
      </c>
      <c r="G31" s="18">
        <v>-109.0</v>
      </c>
      <c r="H31" s="18">
        <v>109.0</v>
      </c>
      <c r="I31" s="18">
        <v>-164.0</v>
      </c>
      <c r="J31" s="18">
        <v>102.0</v>
      </c>
      <c r="K31" s="18">
        <v>-156.0</v>
      </c>
      <c r="L31" s="18">
        <v>-133.0</v>
      </c>
      <c r="M31" s="2">
        <v>2.0</v>
      </c>
      <c r="N31" s="3" t="s">
        <v>36</v>
      </c>
      <c r="O31" s="10">
        <f>IF(AND(C31="",AND(D31="",AND(E31="",AND(F31="",AND(G31="",AND(H31="",AND(I31="",AND(J31="",AND(K31="",L31=""))))))))),"",10+IF((IF(((IF(C31="",1,IF(C31&gt;0,(C31/100)+1,(100/((-1)*C31))+1)))*(IF(D31="",1,IF(D31&gt;0,(D31/100)+1,(100/((-1)*D31))+1)))*(IF(E31="",1,IF(E31&gt;0,(E31/100)+1,(100/((-1)*E31))+1)))*(IF(F31="",1,IF(F31&gt;0,(F31/100)+1,(100/((-1)*F31))+1)))*(IF(G31="",1,IF(G31&gt;0,(G31/100)+1,(100/((-1)*G31))+1)))*(IF(H31="",1,IF(H31&gt;0,(H31/100)+1,(100/((-1)*H31))+1)))*(IF(I31="",1,IF(I31&gt;0,(I31/100)+1,(100/((-1)*I31))+1)))*(IF(J31="",1,IF(J31&gt;0,(J31/100)+1,(100/((-1)*J31))+1)))*(IF(K31="",1,IF(K31&gt;0,(K31/100)+1,(100/((-1)*K31))+1)))*(IF(L31="",1,IF(L31&gt;0,(L31/100)+1,(100/((-1)*L31))+1))))&lt;2,((-100)/(((IF(C31="",1,IF(C31&gt;0,(C31/100)+1,(100/((-1)*C31))+1)))*(IF(D31="",1,IF(D31&gt;0,(D31/100)+1,(100/((-1)*D31))+1)))*(IF(E31="",1,IF(E31&gt;0,(E31/100)+1,(100/((-1)*E31))+1)))*(IF(F31="",1,IF(F31&gt;0,(F31/100)+1,(100/((-1)*F31))+1)))*(IF(G31="",1,IF(G31&gt;0,(G31/100)+1,(100/((-1)*G31))+1)))*(IF(H31="",1,IF(H31&gt;0,(H31/100)+1,(100/((-1)*H31))+1)))*(IF(I31="",1,IF(I31&gt;0,(I31/100)+1,(100/((-1)*I31))+1)))*(IF(J31="",1,IF(J31&gt;0,(J31/100)+1,(100/((-1)*J31))+1)))*(IF(K31="",1,IF(K31&gt;0,(K31/100)+1,(100/((-1)*K31))+1)))*(IF(L31="",1,IF(L31&gt;0,(L31/100)+1,(100/((-1)*L31))+1))))-1)),((((IF(C31="",1,IF(C31&gt;0,(C31/100)+1,(100/((-1)*C31))+1)))*(IF(D31="",1,IF(D31&gt;0,(D31/100)+1,(100/((-1)*D31))+1)))*(IF(E31="",1,IF(E31&gt;0,(E31/100)+1,(100/((-1)*E31))+1)))*(IF(F31="",1,IF(F31&gt;0,(F31/100)+1,(100/((-1)*F31))+1)))*(IF(G31="",1,IF(G31&gt;0,(G31/100)+1,(100/((-1)*G31))+1)))*(IF(H31="",1,IF(H31&gt;0,(H31/100)+1,(100/((-1)*H31))+1)))*(IF(I31="",1,IF(I31&gt;0,(I31/100)+1,(100/((-1)*I31))+1)))*(IF(J31="",1,IF(J31&gt;0,(J31/100)+1,(100/((-1)*J31))+1)))*(IF(K31="",1,IF(K31&gt;0,(K31/100)+1,(100/((-1)*K31))+1)))*(IF(L31="",1,IF(L31&gt;0,(L31/100)+1,(100/((-1)*L31))+1))))-1)*(100))))&lt;0,(((-100)/((IF(((IF(C31="",1,IF(C31&gt;0,(C31/100)+1,(100/((-1)*C31))+1)))*(IF(D31="",1,IF(D31&gt;0,(D31/100)+1,(100/((-1)*D31))+1)))*(IF(E31="",1,IF(E31&gt;0,(E31/100)+1,(100/((-1)*E31))+1)))*(IF(F31="",1,IF(F31&gt;0,(F31/100)+1,(100/((-1)*F31))+1)))*(IF(G31="",1,IF(G31&gt;0,(G31/100)+1,(100/((-1)*G31))+1)))*(IF(H31="",1,IF(H31&gt;0,(H31/100)+1,(100/((-1)*H31))+1)))*(IF(I31="",1,IF(I31&gt;0,(I31/100)+1,(100/((-1)*I31))+1)))*(IF(J31="",1,IF(J31&gt;0,(J31/100)+1,(100/((-1)*J31))+1)))*(IF(K31="",1,IF(K31&gt;0,(K31/100)+1,(100/((-1)*K31))+1)))*(IF(L31="",1,IF(L31&gt;0,(L31/100)+1,(100/((-1)*L31))+1))))&lt;2,((-100)/(((IF(C31="",1,IF(C31&gt;0,(C31/100)+1,(100/((-1)*C31))+1)))*(IF(D31="",1,IF(D31&gt;0,(D31/100)+1,(100/((-1)*D31))+1)))*(IF(E31="",1,IF(E31&gt;0,(E31/100)+1,(100/((-1)*E31))+1)))*(IF(F31="",1,IF(F31&gt;0,(F31/100)+1,(100/((-1)*F31))+1)))*(IF(G31="",1,IF(G31&gt;0,(G31/100)+1,(100/((-1)*G31))+1)))*(IF(H31="",1,IF(H31&gt;0,(H31/100)+1,(100/((-1)*H31))+1)))*(IF(I31="",1,IF(I31&gt;0,(I31/100)+1,(100/((-1)*I31))+1)))*(IF(J31="",1,IF(J31&gt;0,(J31/100)+1,(100/((-1)*J31))+1)))*(IF(K31="",1,IF(K31&gt;0,(K31/100)+1,(100/((-1)*K31))+1)))*(IF(L31="",1,IF(L31&gt;0,(L31/100)+1,(100/((-1)*L31))+1))))-1)),((((IF(C31="",1,IF(C31&gt;0,(C31/100)+1,(100/((-1)*C31))+1)))*(IF(D31="",1,IF(D31&gt;0,(D31/100)+1,(100/((-1)*D31))+1)))*(IF(E31="",1,IF(E31&gt;0,(E31/100)+1,(100/((-1)*E31))+1)))*(IF(F31="",1,IF(F31&gt;0,(F31/100)+1,(100/((-1)*F31))+1)))*(IF(G31="",1,IF(G31&gt;0,(G31/100)+1,(100/((-1)*G31))+1)))*(IF(H31="",1,IF(H31&gt;0,(H31/100)+1,(100/((-1)*H31))+1)))*(IF(I31="",1,IF(I31&gt;0,(I31/100)+1,(100/((-1)*I31))+1)))*(IF(J31="",1,IF(J31&gt;0,(J31/100)+1,(100/((-1)*J31))+1)))*(IF(K31="",1,IF(K31&gt;0,(K31/100)+1,(100/((-1)*K31))+1)))*(IF(L31="",1,IF(L31&gt;0,(L31/100)+1,(100/((-1)*L31))+1))))-1)*(100))))))*10),(((IF(((IF(C31="",1,IF(C31&gt;0,(C31/100)+1,(100/((-1)*C31))+1)))*(IF(D31="",1,IF(D31&gt;0,(D31/100)+1,(100/((-1)*D31))+1)))*(IF(E31="",1,IF(E31&gt;0,(E31/100)+1,(100/((-1)*E31))+1)))*(IF(F31="",1,IF(F31&gt;0,(F31/100)+1,(100/((-1)*F31))+1)))*(IF(G31="",1,IF(G31&gt;0,(G31/100)+1,(100/((-1)*G31))+1)))*(IF(H31="",1,IF(H31&gt;0,(H31/100)+1,(100/((-1)*H31))+1)))*(IF(I31="",1,IF(I31&gt;0,(I31/100)+1,(100/((-1)*I31))+1)))*(IF(J31="",1,IF(J31&gt;0,(J31/100)+1,(100/((-1)*J31))+1)))*(IF(K31="",1,IF(K31&gt;0,(K31/100)+1,(100/((-1)*K31))+1)))*(IF(L31="",1,IF(L31&gt;0,(L31/100)+1,(100/((-1)*L31))+1))))&lt;2,((-100)/(((IF(C31="",1,IF(C31&gt;0,(C31/100)+1,(100/((-1)*C31))+1)))*(IF(D31="",1,IF(D31&gt;0,(D31/100)+1,(100/((-1)*D31))+1)))*(IF(E31="",1,IF(E31&gt;0,(E31/100)+1,(100/((-1)*E31))+1)))*(IF(F31="",1,IF(F31&gt;0,(F31/100)+1,(100/((-1)*F31))+1)))*(IF(G31="",1,IF(G31&gt;0,(G31/100)+1,(100/((-1)*G31))+1)))*(IF(H31="",1,IF(H31&gt;0,(H31/100)+1,(100/((-1)*H31))+1)))*(IF(I31="",1,IF(I31&gt;0,(I31/100)+1,(100/((-1)*I31))+1)))*(IF(J31="",1,IF(J31&gt;0,(J31/100)+1,(100/((-1)*J31))+1)))*(IF(K31="",1,IF(K31&gt;0,(K31/100)+1,(100/((-1)*K31))+1)))*(IF(L31="",1,IF(L31&gt;0,(L31/100)+1,(100/((-1)*L31))+1))))-1)),((((IF(C31="",1,IF(C31&gt;0,(C31/100)+1,(100/((-1)*C31))+1)))*(IF(D31="",1,IF(D31&gt;0,(D31/100)+1,(100/((-1)*D31))+1)))*(IF(E31="",1,IF(E31&gt;0,(E31/100)+1,(100/((-1)*E31))+1)))*(IF(F31="",1,IF(F31&gt;0,(F31/100)+1,(100/((-1)*F31))+1)))*(IF(G31="",1,IF(G31&gt;0,(G31/100)+1,(100/((-1)*G31))+1)))*(IF(H31="",1,IF(H31&gt;0,(H31/100)+1,(100/((-1)*H31))+1)))*(IF(I31="",1,IF(I31&gt;0,(I31/100)+1,(100/((-1)*I31))+1)))*(IF(J31="",1,IF(J31&gt;0,(J31/100)+1,(100/((-1)*J31))+1)))*(IF(K31="",1,IF(K31&gt;0,(K31/100)+1,(100/((-1)*K31))+1)))*(IF(L31="",1,IF(L31&gt;0,(L31/100)+1,(100/((-1)*L31))+1))))-1)*(100))))/100)*10)))</f>
        <v>3624.499622</v>
      </c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ht="16.5" customHeight="1">
      <c r="A32" s="3" t="s">
        <v>37</v>
      </c>
      <c r="B32" s="2"/>
      <c r="C32" s="12" t="s">
        <v>187</v>
      </c>
      <c r="D32" s="12" t="s">
        <v>188</v>
      </c>
      <c r="E32" s="18" t="s">
        <v>189</v>
      </c>
      <c r="F32" s="12" t="s">
        <v>190</v>
      </c>
      <c r="G32" s="18" t="s">
        <v>191</v>
      </c>
      <c r="H32" s="12" t="s">
        <v>192</v>
      </c>
      <c r="I32" s="12" t="s">
        <v>193</v>
      </c>
      <c r="J32" s="12" t="s">
        <v>194</v>
      </c>
      <c r="K32" s="12" t="s">
        <v>195</v>
      </c>
      <c r="L32" s="12" t="s">
        <v>196</v>
      </c>
      <c r="M32" s="2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ht="16.5" customHeight="1">
      <c r="A33" s="3" t="s">
        <v>48</v>
      </c>
      <c r="B33" s="2"/>
      <c r="C33" s="5" t="s">
        <v>197</v>
      </c>
      <c r="D33" s="5" t="s">
        <v>198</v>
      </c>
      <c r="E33" s="5" t="s">
        <v>199</v>
      </c>
      <c r="F33" s="5" t="s">
        <v>200</v>
      </c>
      <c r="G33" s="5" t="s">
        <v>201</v>
      </c>
      <c r="H33" s="5" t="s">
        <v>73</v>
      </c>
      <c r="I33" s="5" t="s">
        <v>202</v>
      </c>
      <c r="J33" s="5" t="s">
        <v>203</v>
      </c>
      <c r="K33" s="5" t="s">
        <v>204</v>
      </c>
      <c r="L33" s="5" t="s">
        <v>73</v>
      </c>
      <c r="M33" s="2"/>
      <c r="N33" s="4"/>
      <c r="O33" s="3" t="s">
        <v>56</v>
      </c>
      <c r="P33" s="3" t="s">
        <v>57</v>
      </c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ht="16.5" customHeight="1">
      <c r="A34" s="3" t="s">
        <v>59</v>
      </c>
      <c r="B34" s="2"/>
      <c r="C34" s="5" t="s">
        <v>60</v>
      </c>
      <c r="D34" s="5" t="s">
        <v>60</v>
      </c>
      <c r="E34" s="5" t="s">
        <v>60</v>
      </c>
      <c r="F34" s="5" t="s">
        <v>62</v>
      </c>
      <c r="G34" s="5" t="s">
        <v>60</v>
      </c>
      <c r="H34" s="5" t="s">
        <v>60</v>
      </c>
      <c r="I34" s="5" t="s">
        <v>60</v>
      </c>
      <c r="J34" s="5" t="s">
        <v>60</v>
      </c>
      <c r="K34" s="5" t="s">
        <v>62</v>
      </c>
      <c r="L34" s="5" t="s">
        <v>60</v>
      </c>
      <c r="M34" s="2"/>
      <c r="N34" s="3" t="s">
        <v>65</v>
      </c>
      <c r="O34" s="12" t="str">
        <f>IFERROR(__xludf.DUMMYFUNCTION("IF(OR(COUNTA(C31:L31) = 0, COUNTA(C34:L34) = 0), """", IFERROR(TEXTJOIN("", "", TRUE, FILTER(C28:L28, (C34:L34 = ""W"") * (C31:L31 = MAX(FILTER(C31:L31, C34:L34 = ""W""))))), """"))"),"Jake")</f>
        <v>Jake</v>
      </c>
      <c r="P34" s="12" t="str">
        <f>IFERROR(__xludf.DUMMYFUNCTION("IF(COUNTA(C39:L39) = 0, """", IFERROR(TEXTJOIN("", "", TRUE, FILTER(C28:L28, C39:L39 = MAX(C39:L39))), """"))"),"Jake")</f>
        <v>Jake</v>
      </c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ht="16.5" customHeight="1">
      <c r="A35" s="1" t="s">
        <v>81</v>
      </c>
      <c r="B35" s="2"/>
      <c r="C35" s="4">
        <f t="shared" ref="C35:L35" si="9">IF(OR(C31="",C34=""),"",C22+COUNTIF(C34,"W"))</f>
        <v>3</v>
      </c>
      <c r="D35" s="4">
        <f t="shared" si="9"/>
        <v>3</v>
      </c>
      <c r="E35" s="4">
        <f t="shared" si="9"/>
        <v>3</v>
      </c>
      <c r="F35" s="4">
        <f t="shared" si="9"/>
        <v>2</v>
      </c>
      <c r="G35" s="4">
        <f t="shared" si="9"/>
        <v>2</v>
      </c>
      <c r="H35" s="4">
        <f t="shared" si="9"/>
        <v>3</v>
      </c>
      <c r="I35" s="4">
        <f t="shared" si="9"/>
        <v>2</v>
      </c>
      <c r="J35" s="4">
        <f t="shared" si="9"/>
        <v>2</v>
      </c>
      <c r="K35" s="4">
        <f t="shared" si="9"/>
        <v>1</v>
      </c>
      <c r="L35" s="4">
        <f t="shared" si="9"/>
        <v>2</v>
      </c>
      <c r="M35" s="2"/>
      <c r="N35" s="3" t="s">
        <v>82</v>
      </c>
      <c r="O35" s="4" t="str">
        <f>IFERROR(__xludf.DUMMYFUNCTION("IF(OR(COUNTA(C31:L31) = 0, COUNTA(C34:L34) = 0), """", IFERROR(TEXTJOIN("", "", TRUE, FILTER(C28:L28, (C34:L34 = ""L"") * (C31:L31 = MIN(FILTER(C31:L31, C34:L34 = ""L""))))), """"))"),"Taylon")</f>
        <v>Taylon</v>
      </c>
      <c r="P35" s="12" t="str">
        <f>IFERROR(__xludf.DUMMYFUNCTION("IF(COUNTA(C39:L39) = 0, """", IFERROR(TEXTJOIN("", "", TRUE, FILTER(C28:L28, C39:L39 = MIN(C39:L39))), """"))"),"Taylon")</f>
        <v>Taylon</v>
      </c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ht="16.5" customHeight="1">
      <c r="A36" s="1" t="s">
        <v>83</v>
      </c>
      <c r="B36" s="2"/>
      <c r="C36" s="27">
        <f t="shared" ref="C36:L36" si="10">IF(OR(C31="",C34=""),"",C23+COUNTIF(C34,"L"))</f>
        <v>0</v>
      </c>
      <c r="D36" s="27">
        <f t="shared" si="10"/>
        <v>0</v>
      </c>
      <c r="E36" s="27">
        <f t="shared" si="10"/>
        <v>0</v>
      </c>
      <c r="F36" s="27">
        <f t="shared" si="10"/>
        <v>1</v>
      </c>
      <c r="G36" s="27">
        <f t="shared" si="10"/>
        <v>1</v>
      </c>
      <c r="H36" s="27">
        <f t="shared" si="10"/>
        <v>0</v>
      </c>
      <c r="I36" s="27">
        <f t="shared" si="10"/>
        <v>1</v>
      </c>
      <c r="J36" s="27">
        <f t="shared" si="10"/>
        <v>1</v>
      </c>
      <c r="K36" s="27">
        <f t="shared" si="10"/>
        <v>2</v>
      </c>
      <c r="L36" s="27">
        <f t="shared" si="10"/>
        <v>1</v>
      </c>
      <c r="M36" s="2"/>
      <c r="N36" s="3" t="s">
        <v>84</v>
      </c>
      <c r="O36" s="12" t="str">
        <f>IFERROR(__xludf.DUMMYFUNCTION("IF(COUNTA(C31:L31) = 0, """", IFERROR(TEXTJOIN("", "", TRUE, FILTER(C28:L28, C31:L31 = MAX(C31:L31))), """"))"),"Jake")</f>
        <v>Jake</v>
      </c>
      <c r="P36" s="4" t="str">
        <f>IFERROR(__xludf.DUMMYFUNCTION("IF(COUNTA(C31:L31) = 0, """", IFERROR(TEXTJOIN("", "", TRUE, FILTER(C28:L28, C38:L38 = MAX(C38:L38))), """"))"),"Nick")</f>
        <v>Nick</v>
      </c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ht="16.5" customHeight="1">
      <c r="A37" s="3" t="s">
        <v>85</v>
      </c>
      <c r="B37" s="2"/>
      <c r="C37" s="24">
        <f t="shared" ref="C37:L37" si="11">IF(OR(C31="",C34=""),"",(C35/(C35+C36)))</f>
        <v>1</v>
      </c>
      <c r="D37" s="24">
        <f t="shared" si="11"/>
        <v>1</v>
      </c>
      <c r="E37" s="24">
        <f t="shared" si="11"/>
        <v>1</v>
      </c>
      <c r="F37" s="24">
        <f t="shared" si="11"/>
        <v>0.6666666667</v>
      </c>
      <c r="G37" s="24">
        <f t="shared" si="11"/>
        <v>0.6666666667</v>
      </c>
      <c r="H37" s="24">
        <f t="shared" si="11"/>
        <v>1</v>
      </c>
      <c r="I37" s="24">
        <f t="shared" si="11"/>
        <v>0.6666666667</v>
      </c>
      <c r="J37" s="24">
        <f t="shared" si="11"/>
        <v>0.6666666667</v>
      </c>
      <c r="K37" s="24">
        <f t="shared" si="11"/>
        <v>0.3333333333</v>
      </c>
      <c r="L37" s="24">
        <f t="shared" si="11"/>
        <v>0.6666666667</v>
      </c>
      <c r="M37" s="14"/>
      <c r="N37" s="3" t="s">
        <v>86</v>
      </c>
      <c r="O37" s="4" t="str">
        <f>IFERROR(__xludf.DUMMYFUNCTION("IF(COUNTA(C31:L31) = 0, """", IFERROR(TEXTJOIN("", "", TRUE, FILTER(C28:L28, C31:L31 = MIN(C31:L31))), """"))"),"Carson")</f>
        <v>Carson</v>
      </c>
      <c r="P37" s="4" t="str">
        <f>IFERROR(__xludf.DUMMYFUNCTION("IF(COUNTA(C31:L31) = 0, """", IFERROR(TEXTJOIN("", "", TRUE, FILTER(C28:L28, C38:L38 = MIN(C38:L38))), """"))"),"Carson")</f>
        <v>Carson</v>
      </c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ht="16.5" customHeight="1">
      <c r="A38" s="3" t="s">
        <v>87</v>
      </c>
      <c r="B38" s="2"/>
      <c r="C38" s="25">
        <f t="shared" ref="C38:L38" si="12">IF(C31="","",IF(((IF(C31 &lt;0,((-100/C31)+1),((C31/100)+1))+(IF(C25&lt;0,((-100/C25)+1),((C25/100)+1)))*(C22+C23))/(C22+C23+1))&lt;2,(-100/(((IF(C31 &lt;0,((-100/C31)+1),((C31/100)+1))+(IF(C25&lt;0,((-100/C25)+1),((C25/100)+1)))*(C22+C23))/(C22+C23+1))-1)),(((IF(C31 &lt;0,((-100/C31)+1),((C31/100)+1))+(IF(C25&lt;0,((-100/C25)+1),((C25/100)+1)))*(C22+C23))/(C22+C23+1))-1)*100))</f>
        <v>-143.0885033</v>
      </c>
      <c r="D38" s="25">
        <f t="shared" si="12"/>
        <v>-152.2364665</v>
      </c>
      <c r="E38" s="25">
        <f t="shared" si="12"/>
        <v>-110.4407584</v>
      </c>
      <c r="F38" s="25">
        <f t="shared" si="12"/>
        <v>-116.314217</v>
      </c>
      <c r="G38" s="25">
        <f t="shared" si="12"/>
        <v>-132.0656289</v>
      </c>
      <c r="H38" s="25">
        <f t="shared" si="12"/>
        <v>-108.3856246</v>
      </c>
      <c r="I38" s="25">
        <f t="shared" si="12"/>
        <v>-107.1820568</v>
      </c>
      <c r="J38" s="25">
        <f t="shared" si="12"/>
        <v>-114.5278349</v>
      </c>
      <c r="K38" s="25">
        <f t="shared" si="12"/>
        <v>-108.7658525</v>
      </c>
      <c r="L38" s="25">
        <f t="shared" si="12"/>
        <v>-146.3566148</v>
      </c>
      <c r="M38" s="14"/>
      <c r="N38" s="4"/>
      <c r="O38" s="12"/>
      <c r="P38" s="12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>
      <c r="A39" s="16" t="s">
        <v>88</v>
      </c>
      <c r="B39" s="2"/>
      <c r="C39" s="26">
        <f>IFERROR(__xludf.DUMMYFUNCTION("IF(OR(C31="""",C34=""""),"""",IF(REGEXMATCH(C34,""W""),IF(C31&lt;0,((-100/C31))*10+C26,((C31/100)*10+C26)),-10+C26))"),20.9660450125675)</f>
        <v>20.96604501</v>
      </c>
      <c r="D39" s="26">
        <f>IFERROR(__xludf.DUMMYFUNCTION("IF(OR(D31="""",D34=""""),"""",IF(REGEXMATCH(D34,""W""),IF(D31&lt;0,((-100/D31))*10+D26,((D31/100)*10+D26)),-10+D26))"),19.70618517677341)</f>
        <v>19.70618518</v>
      </c>
      <c r="E39" s="26">
        <f>IFERROR(__xludf.DUMMYFUNCTION("IF(OR(E31="""",E34=""""),"""",IF(REGEXMATCH(E34,""W""),IF(E31&lt;0,((-100/E31))*10+E26,((E31/100)*10+E26)),-10+E26))"),27.163884447287067)</f>
        <v>27.16388445</v>
      </c>
      <c r="F39" s="26">
        <f>IFERROR(__xludf.DUMMYFUNCTION("IF(OR(F31="""",F34=""""),"""",IF(REGEXMATCH(F34,""W""),IF(F31&lt;0,((-100/F31))*10+F26,((F31/100)*10+F26)),-10+F26))"),5.592203898050975)</f>
        <v>5.592203898</v>
      </c>
      <c r="G39" s="26">
        <f>IFERROR(__xludf.DUMMYFUNCTION("IF(OR(G31="""",G34=""""),"""",IF(REGEXMATCH(G34,""W""),IF(G31&lt;0,((-100/G31))*10+G26,((G31/100)*10+G26)),-10+G26))"),4.382645259938839)</f>
        <v>4.38264526</v>
      </c>
      <c r="H39" s="26">
        <f>IFERROR(__xludf.DUMMYFUNCTION("IF(OR(H31="""",H34=""""),"""",IF(REGEXMATCH(H34,""W""),IF(H31&lt;0,((-100/H31))*10+H26,((H31/100)*10+H26)),-10+H26))"),27.67894736842105)</f>
        <v>27.67894737</v>
      </c>
      <c r="I39" s="26">
        <f>IFERROR(__xludf.DUMMYFUNCTION("IF(OR(I31="""",I34=""""),"""",IF(REGEXMATCH(I34,""W""),IF(I31&lt;0,((-100/I31))*10+I26,((I31/100)*10+I26)),-10+I26))"),3.1897595571700403)</f>
        <v>3.189759557</v>
      </c>
      <c r="J39" s="26">
        <f>IFERROR(__xludf.DUMMYFUNCTION("IF(OR(J31="""",J34=""""),"""",IF(REGEXMATCH(J34,""W""),IF(J31&lt;0,((-100/J31))*10+J26,((J31/100)*10+J26)),-10+J26))"),10.7)</f>
        <v>10.7</v>
      </c>
      <c r="K39" s="26">
        <f>IFERROR(__xludf.DUMMYFUNCTION("IF(OR(K31="""",K34=""""),"""",IF(REGEXMATCH(K34,""W""),IF(K31&lt;0,((-100/K31))*10+K26,((K31/100)*10+K26)),-10+K26))"),-7.6)</f>
        <v>-7.6</v>
      </c>
      <c r="L39" s="26">
        <f>IFERROR(__xludf.DUMMYFUNCTION("IF(OR(L31="""",L34=""""),"""",IF(REGEXMATCH(L34,""W""),IF(L31&lt;0,((-100/L31))*10+L26,((L31/100)*10+L26)),-10+L26))"),2.0233014969857077)</f>
        <v>2.023301497</v>
      </c>
      <c r="M39" s="14"/>
      <c r="N39" s="16" t="s">
        <v>89</v>
      </c>
      <c r="O39" s="10">
        <f>IFERROR(__xludf.DUMMYFUNCTION("IF(AND(C39="""",AND(D39="""",AND(E39="""",AND(F39="""",AND(G39="""",AND(H39="""",AND(I39="""",AND(J39="""",AND(K39="""",L39=""""))))))))),"""",(IF(C34="""",0,IF(REGEXMATCH(C34,""W""),IF(C31&lt;0,((-100/C31))*10,((C31/100)*10)),-10))+IF(D34="""",0,IF(REGEXMAT"&amp;"CH(D34,""W""),IF(D31&lt;0,((-100/D31))*10,((D31/100)*10)),-10))+IF(E34="""",0,IF(REGEXMATCH(E34,""W""),IF(E31&lt;0,((-100/E31))*10,((E31/100)*10)),-10))+IF(F34="""",0,IF(REGEXMATCH(F34,""W""),IF(F31&lt;0,((-100/F31))*10,((F31/100)*10)),-10))+IF(G34="""",0,IF(REGEX"&amp;"MATCH(G34,""W""),IF(G31&lt;0,((-100/G31))*10,((G31/100)*10)),-10))+IF(H34="""",0,IF(REGEXMATCH(H34,""W""),IF(H31&lt;0,((-100/H31))*10,((H31/100)*10)),-10))+IF(I34="""",0,IF(REGEXMATCH(I34,""W""),IF(I31&lt;0,((-100/I31))*10,((I31/100)*10)),-10))+IF(J34="""",0,IF(RE"&amp;"GEXMATCH(J34,""W""),IF(J31&lt;0,((-100/J31))*10,((J31/100)*10)),-10))+IF(K34="""",0,IF(REGEXMATCH(K34,""W""),IF(K31&lt;0,((-100/K31))*10,((K31/100)*10)),-10))+IF(L34="""",0,IF(REGEXMATCH(L34,""W""),IF(L31&lt;0,((-100/L31))*10,((L31/100)*10)),-10))))"),44.7437664184189)</f>
        <v>44.74376642</v>
      </c>
      <c r="P39" s="10">
        <f>IFERROR(__xludf.DUMMYFUNCTION("IF(AND(C39="""",AND(D39="""",AND(E39="""",AND(F39="""",AND(G39="""",AND(H39="""",AND(I39="""",AND(J39="""",AND(K39="""",L39=""""))))))))),"""",(P26+IF(C34="""",0,IF(REGEXMATCH(C34,""W""),IF(C31&lt;0,((-100/C31))*10,((C31/100)*10)),-10))+IF(D34="""",0,IF(REGE"&amp;"XMATCH(D34,""W""),IF(D31&lt;0,((-100/D31))*10,((D31/100)*10)),-10))+IF(E34="""",0,IF(REGEXMATCH(E34,""W""),IF(E31&lt;0,((-100/E31))*10,((E31/100)*10)),-10))+IF(F34="""",0,IF(REGEXMATCH(F34,""W""),IF(F31&lt;0,((-100/F31))*10,((F31/100)*10)),-10))+IF(G34="""",0,IF(R"&amp;"EGEXMATCH(G34,""W""),IF(G31&lt;0,((-100/G31))*10,((G31/100)*10)),-10))+IF(H34="""",0,IF(REGEXMATCH(H34,""W""),IF(H31&lt;0,((-100/H31))*10,((H31/100)*10)),-10))+IF(I34="""",0,IF(REGEXMATCH(I34,""W""),IF(I31&lt;0,((-100/I31))*10,((I31/100)*10)),-10))+IF(J34="""",0,I"&amp;"F(REGEXMATCH(J34,""W""),IF(J31&lt;0,((-100/J31))*10,((J31/100)*10)),-10))+IF(K34="""",0,IF(REGEXMATCH(K34,""W""),IF(K31&lt;0,((-100/K31))*10,((K31/100)*10)),-10))+IF(L34="""",0,IF(REGEXMATCH(L34,""W""),IF(L31&lt;0,((-100/L31))*10,((L31/100)*10)),-10))))"),113.8029722171946)</f>
        <v>113.8029722</v>
      </c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ht="16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ht="16.5" customHeight="1">
      <c r="A41" s="3" t="s">
        <v>216</v>
      </c>
      <c r="B41" s="2"/>
      <c r="C41" s="3" t="s">
        <v>1</v>
      </c>
      <c r="D41" s="3" t="s">
        <v>2</v>
      </c>
      <c r="E41" s="3" t="s">
        <v>3</v>
      </c>
      <c r="F41" s="3" t="s">
        <v>4</v>
      </c>
      <c r="G41" s="3" t="s">
        <v>5</v>
      </c>
      <c r="H41" s="3" t="s">
        <v>6</v>
      </c>
      <c r="I41" s="3" t="s">
        <v>7</v>
      </c>
      <c r="J41" s="3" t="s">
        <v>8</v>
      </c>
      <c r="K41" s="3" t="s">
        <v>9</v>
      </c>
      <c r="L41" s="3" t="s">
        <v>10</v>
      </c>
      <c r="M41" s="2"/>
      <c r="N41" s="4"/>
      <c r="O41" s="3" t="s">
        <v>11</v>
      </c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ht="16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ht="16.5" customHeight="1">
      <c r="A43" s="3" t="s">
        <v>12</v>
      </c>
      <c r="B43" s="2"/>
      <c r="C43" s="5" t="s">
        <v>217</v>
      </c>
      <c r="D43" s="5" t="s">
        <v>218</v>
      </c>
      <c r="E43" s="5" t="s">
        <v>219</v>
      </c>
      <c r="F43" s="5" t="s">
        <v>220</v>
      </c>
      <c r="G43" s="19" t="s">
        <v>221</v>
      </c>
      <c r="H43" s="5" t="s">
        <v>222</v>
      </c>
      <c r="I43" s="5" t="s">
        <v>223</v>
      </c>
      <c r="J43" s="5" t="s">
        <v>224</v>
      </c>
      <c r="K43" s="5" t="s">
        <v>225</v>
      </c>
      <c r="L43" s="5" t="s">
        <v>226</v>
      </c>
      <c r="M43" s="2"/>
      <c r="N43" s="3" t="s">
        <v>13</v>
      </c>
      <c r="O43" s="7">
        <f>IF(AND(C44="",AND(D44="",AND(E44="",AND(F44="",AND(G44="",AND(H44="",AND(I44="",AND(J44="",AND(K44="",L44=""))))))))),"",IF(((IF(C44="",1,IF(C44&gt;0,(C44/100)+1,(100/((-1)*C44))+1)))*(IF(D44="",1,IF(D44&gt;0,(D44/100)+1,(100/((-1)*D44))+1)))*(IF(E44="",1,IF(E44&gt;0,(E44/100)+1,(100/((-1)*E44))+1)))*(IF(F44="",1,IF(F44&gt;0,(F44/100)+1,(100/((-1)*F44))+1)))*(IF(G44="",1,IF(G44&gt;0,(G44/100)+1,(100/((-1)*G44))+1)))*(IF(H44="",1,IF(H44&gt;0,(H44/100)+1,(100/((-1)*H44))+1)))*(IF(I44="",1,IF(I44&gt;0,(I44/100)+1,(100/((-1)*I44))+1)))*(IF(J44="",1,IF(J44&gt;0,(J44/100)+1,(100/((-1)*J44))+1)))*(IF(K44="",1,IF(K44&gt;0,(K44/100)+1,(100/((-1)*K44))+1)))*(IF(L44="",1,IF(L44&gt;0,(L44/100)+1,(100/((-1)*L44))+1))))&lt;2,((-100)/(((IF(C44="",1,IF(C44&gt;0,(C44/100)+1,(100/((-1)*C44))+1)))*(IF(D44="",1,IF(D44&gt;0,(D44/100)+1,(100/((-1)*D44))+1)))*(IF(E44="",1,IF(E44&gt;0,(E44/100)+1,(100/((-1)*E44))+1)))*(IF(F44="",1,IF(F44&gt;0,(F44/100)+1,(100/((-1)*F44))+1)))*(IF(G44="",1,IF(G44&gt;0,(G44/100)+1,(100/((-1)*G44))+1)))*(IF(H44="",1,IF(H44&gt;0,(H44/100)+1,(100/((-1)*H44))+1)))*(IF(I44="",1,IF(I44&gt;0,(I44/100)+1,(100/((-1)*I44))+1)))*(IF(J44="",1,IF(J44&gt;0,(J44/100)+1,(100/((-1)*J44))+1)))*(IF(K44="",1,IF(K44&gt;0,(K44/100)+1,(100/((-1)*K44))+1)))*(IF(L44="",1,IF(L44&gt;0,(L44/100)+1,(100/((-1)*L44))+1))))-1)),((((IF(C44="",1,IF(C44&gt;0,(C44/100)+1,(100/((-1)*C44))+1)))*(IF(D44="",1,IF(D44&gt;0,(D44/100)+1,(100/((-1)*D44))+1)))*(IF(E44="",1,IF(E44&gt;0,(E44/100)+1,(100/((-1)*E44))+1)))*(IF(F44="",1,IF(F44&gt;0,(F44/100)+1,(100/((-1)*F44))+1)))*(IF(G44="",1,IF(G44&gt;0,(G44/100)+1,(100/((-1)*G44))+1)))*(IF(H44="",1,IF(H44&gt;0,(H44/100)+1,(100/((-1)*H44))+1)))*(IF(I44="",1,IF(I44&gt;0,(I44/100)+1,(100/((-1)*I44))+1)))*(IF(J44="",1,IF(J44&gt;0,(J44/100)+1,(100/((-1)*J44))+1)))*(IF(K44="",1,IF(K44&gt;0,(K44/100)+1,(100/((-1)*K44))+1)))*(IF(L44="",1,IF(L44&gt;0,(L44/100)+1,(100/((-1)*L44))+1))))-1)*(100))))</f>
        <v>26110.61727</v>
      </c>
      <c r="P43" s="4"/>
      <c r="Q43" s="8" t="s">
        <v>35</v>
      </c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ht="16.5" customHeight="1">
      <c r="A44" s="3" t="s">
        <v>13</v>
      </c>
      <c r="B44" s="2"/>
      <c r="C44" s="5">
        <v>-109.0</v>
      </c>
      <c r="D44" s="5">
        <v>-208.0</v>
      </c>
      <c r="E44" s="5">
        <v>100.0</v>
      </c>
      <c r="F44" s="5">
        <v>-200.0</v>
      </c>
      <c r="G44" s="5">
        <v>-139.0</v>
      </c>
      <c r="H44" s="5">
        <v>-105.0</v>
      </c>
      <c r="I44" s="5">
        <v>-167.0</v>
      </c>
      <c r="J44" s="5">
        <v>-130.0</v>
      </c>
      <c r="K44" s="5">
        <v>-127.0</v>
      </c>
      <c r="L44" s="5">
        <v>-123.0</v>
      </c>
      <c r="M44" s="2">
        <v>3.0</v>
      </c>
      <c r="N44" s="3" t="s">
        <v>36</v>
      </c>
      <c r="O44" s="10">
        <f>IF(AND(C44="",AND(D44="",AND(E44="",AND(F44="",AND(G44="",AND(H44="",AND(I44="",AND(J44="",AND(K44="",L44=""))))))))),"",10+IF((IF(((IF(C44="",1,IF(C44&gt;0,(C44/100)+1,(100/((-1)*C44))+1)))*(IF(D44="",1,IF(D44&gt;0,(D44/100)+1,(100/((-1)*D44))+1)))*(IF(E44="",1,IF(E44&gt;0,(E44/100)+1,(100/((-1)*E44))+1)))*(IF(F44="",1,IF(F44&gt;0,(F44/100)+1,(100/((-1)*F44))+1)))*(IF(G44="",1,IF(G44&gt;0,(G44/100)+1,(100/((-1)*G44))+1)))*(IF(H44="",1,IF(H44&gt;0,(H44/100)+1,(100/((-1)*H44))+1)))*(IF(I44="",1,IF(I44&gt;0,(I44/100)+1,(100/((-1)*I44))+1)))*(IF(J44="",1,IF(J44&gt;0,(J44/100)+1,(100/((-1)*J44))+1)))*(IF(K44="",1,IF(K44&gt;0,(K44/100)+1,(100/((-1)*K44))+1)))*(IF(L44="",1,IF(L44&gt;0,(L44/100)+1,(100/((-1)*L44))+1))))&lt;2,((-100)/(((IF(C44="",1,IF(C44&gt;0,(C44/100)+1,(100/((-1)*C44))+1)))*(IF(D44="",1,IF(D44&gt;0,(D44/100)+1,(100/((-1)*D44))+1)))*(IF(E44="",1,IF(E44&gt;0,(E44/100)+1,(100/((-1)*E44))+1)))*(IF(F44="",1,IF(F44&gt;0,(F44/100)+1,(100/((-1)*F44))+1)))*(IF(G44="",1,IF(G44&gt;0,(G44/100)+1,(100/((-1)*G44))+1)))*(IF(H44="",1,IF(H44&gt;0,(H44/100)+1,(100/((-1)*H44))+1)))*(IF(I44="",1,IF(I44&gt;0,(I44/100)+1,(100/((-1)*I44))+1)))*(IF(J44="",1,IF(J44&gt;0,(J44/100)+1,(100/((-1)*J44))+1)))*(IF(K44="",1,IF(K44&gt;0,(K44/100)+1,(100/((-1)*K44))+1)))*(IF(L44="",1,IF(L44&gt;0,(L44/100)+1,(100/((-1)*L44))+1))))-1)),((((IF(C44="",1,IF(C44&gt;0,(C44/100)+1,(100/((-1)*C44))+1)))*(IF(D44="",1,IF(D44&gt;0,(D44/100)+1,(100/((-1)*D44))+1)))*(IF(E44="",1,IF(E44&gt;0,(E44/100)+1,(100/((-1)*E44))+1)))*(IF(F44="",1,IF(F44&gt;0,(F44/100)+1,(100/((-1)*F44))+1)))*(IF(G44="",1,IF(G44&gt;0,(G44/100)+1,(100/((-1)*G44))+1)))*(IF(H44="",1,IF(H44&gt;0,(H44/100)+1,(100/((-1)*H44))+1)))*(IF(I44="",1,IF(I44&gt;0,(I44/100)+1,(100/((-1)*I44))+1)))*(IF(J44="",1,IF(J44&gt;0,(J44/100)+1,(100/((-1)*J44))+1)))*(IF(K44="",1,IF(K44&gt;0,(K44/100)+1,(100/((-1)*K44))+1)))*(IF(L44="",1,IF(L44&gt;0,(L44/100)+1,(100/((-1)*L44))+1))))-1)*(100))))&lt;0,(((-100)/((IF(((IF(C44="",1,IF(C44&gt;0,(C44/100)+1,(100/((-1)*C44))+1)))*(IF(D44="",1,IF(D44&gt;0,(D44/100)+1,(100/((-1)*D44))+1)))*(IF(E44="",1,IF(E44&gt;0,(E44/100)+1,(100/((-1)*E44))+1)))*(IF(F44="",1,IF(F44&gt;0,(F44/100)+1,(100/((-1)*F44))+1)))*(IF(G44="",1,IF(G44&gt;0,(G44/100)+1,(100/((-1)*G44))+1)))*(IF(H44="",1,IF(H44&gt;0,(H44/100)+1,(100/((-1)*H44))+1)))*(IF(I44="",1,IF(I44&gt;0,(I44/100)+1,(100/((-1)*I44))+1)))*(IF(J44="",1,IF(J44&gt;0,(J44/100)+1,(100/((-1)*J44))+1)))*(IF(K44="",1,IF(K44&gt;0,(K44/100)+1,(100/((-1)*K44))+1)))*(IF(L44="",1,IF(L44&gt;0,(L44/100)+1,(100/((-1)*L44))+1))))&lt;2,((-100)/(((IF(C44="",1,IF(C44&gt;0,(C44/100)+1,(100/((-1)*C44))+1)))*(IF(D44="",1,IF(D44&gt;0,(D44/100)+1,(100/((-1)*D44))+1)))*(IF(E44="",1,IF(E44&gt;0,(E44/100)+1,(100/((-1)*E44))+1)))*(IF(F44="",1,IF(F44&gt;0,(F44/100)+1,(100/((-1)*F44))+1)))*(IF(G44="",1,IF(G44&gt;0,(G44/100)+1,(100/((-1)*G44))+1)))*(IF(H44="",1,IF(H44&gt;0,(H44/100)+1,(100/((-1)*H44))+1)))*(IF(I44="",1,IF(I44&gt;0,(I44/100)+1,(100/((-1)*I44))+1)))*(IF(J44="",1,IF(J44&gt;0,(J44/100)+1,(100/((-1)*J44))+1)))*(IF(K44="",1,IF(K44&gt;0,(K44/100)+1,(100/((-1)*K44))+1)))*(IF(L44="",1,IF(L44&gt;0,(L44/100)+1,(100/((-1)*L44))+1))))-1)),((((IF(C44="",1,IF(C44&gt;0,(C44/100)+1,(100/((-1)*C44))+1)))*(IF(D44="",1,IF(D44&gt;0,(D44/100)+1,(100/((-1)*D44))+1)))*(IF(E44="",1,IF(E44&gt;0,(E44/100)+1,(100/((-1)*E44))+1)))*(IF(F44="",1,IF(F44&gt;0,(F44/100)+1,(100/((-1)*F44))+1)))*(IF(G44="",1,IF(G44&gt;0,(G44/100)+1,(100/((-1)*G44))+1)))*(IF(H44="",1,IF(H44&gt;0,(H44/100)+1,(100/((-1)*H44))+1)))*(IF(I44="",1,IF(I44&gt;0,(I44/100)+1,(100/((-1)*I44))+1)))*(IF(J44="",1,IF(J44&gt;0,(J44/100)+1,(100/((-1)*J44))+1)))*(IF(K44="",1,IF(K44&gt;0,(K44/100)+1,(100/((-1)*K44))+1)))*(IF(L44="",1,IF(L44&gt;0,(L44/100)+1,(100/((-1)*L44))+1))))-1)*(100))))))*10),(((IF(((IF(C44="",1,IF(C44&gt;0,(C44/100)+1,(100/((-1)*C44))+1)))*(IF(D44="",1,IF(D44&gt;0,(D44/100)+1,(100/((-1)*D44))+1)))*(IF(E44="",1,IF(E44&gt;0,(E44/100)+1,(100/((-1)*E44))+1)))*(IF(F44="",1,IF(F44&gt;0,(F44/100)+1,(100/((-1)*F44))+1)))*(IF(G44="",1,IF(G44&gt;0,(G44/100)+1,(100/((-1)*G44))+1)))*(IF(H44="",1,IF(H44&gt;0,(H44/100)+1,(100/((-1)*H44))+1)))*(IF(I44="",1,IF(I44&gt;0,(I44/100)+1,(100/((-1)*I44))+1)))*(IF(J44="",1,IF(J44&gt;0,(J44/100)+1,(100/((-1)*J44))+1)))*(IF(K44="",1,IF(K44&gt;0,(K44/100)+1,(100/((-1)*K44))+1)))*(IF(L44="",1,IF(L44&gt;0,(L44/100)+1,(100/((-1)*L44))+1))))&lt;2,((-100)/(((IF(C44="",1,IF(C44&gt;0,(C44/100)+1,(100/((-1)*C44))+1)))*(IF(D44="",1,IF(D44&gt;0,(D44/100)+1,(100/((-1)*D44))+1)))*(IF(E44="",1,IF(E44&gt;0,(E44/100)+1,(100/((-1)*E44))+1)))*(IF(F44="",1,IF(F44&gt;0,(F44/100)+1,(100/((-1)*F44))+1)))*(IF(G44="",1,IF(G44&gt;0,(G44/100)+1,(100/((-1)*G44))+1)))*(IF(H44="",1,IF(H44&gt;0,(H44/100)+1,(100/((-1)*H44))+1)))*(IF(I44="",1,IF(I44&gt;0,(I44/100)+1,(100/((-1)*I44))+1)))*(IF(J44="",1,IF(J44&gt;0,(J44/100)+1,(100/((-1)*J44))+1)))*(IF(K44="",1,IF(K44&gt;0,(K44/100)+1,(100/((-1)*K44))+1)))*(IF(L44="",1,IF(L44&gt;0,(L44/100)+1,(100/((-1)*L44))+1))))-1)),((((IF(C44="",1,IF(C44&gt;0,(C44/100)+1,(100/((-1)*C44))+1)))*(IF(D44="",1,IF(D44&gt;0,(D44/100)+1,(100/((-1)*D44))+1)))*(IF(E44="",1,IF(E44&gt;0,(E44/100)+1,(100/((-1)*E44))+1)))*(IF(F44="",1,IF(F44&gt;0,(F44/100)+1,(100/((-1)*F44))+1)))*(IF(G44="",1,IF(G44&gt;0,(G44/100)+1,(100/((-1)*G44))+1)))*(IF(H44="",1,IF(H44&gt;0,(H44/100)+1,(100/((-1)*H44))+1)))*(IF(I44="",1,IF(I44&gt;0,(I44/100)+1,(100/((-1)*I44))+1)))*(IF(J44="",1,IF(J44&gt;0,(J44/100)+1,(100/((-1)*J44))+1)))*(IF(K44="",1,IF(K44&gt;0,(K44/100)+1,(100/((-1)*K44))+1)))*(IF(L44="",1,IF(L44&gt;0,(L44/100)+1,(100/((-1)*L44))+1))))-1)*(100))))/100)*10)))</f>
        <v>2621.061727</v>
      </c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ht="16.5" customHeight="1">
      <c r="A45" s="3" t="s">
        <v>37</v>
      </c>
      <c r="B45" s="2"/>
      <c r="C45" s="5" t="s">
        <v>255</v>
      </c>
      <c r="D45" s="5" t="s">
        <v>256</v>
      </c>
      <c r="E45" s="5" t="s">
        <v>257</v>
      </c>
      <c r="F45" s="5" t="s">
        <v>258</v>
      </c>
      <c r="G45" s="5" t="s">
        <v>259</v>
      </c>
      <c r="H45" s="5" t="s">
        <v>260</v>
      </c>
      <c r="I45" s="5" t="s">
        <v>261</v>
      </c>
      <c r="J45" s="5" t="s">
        <v>262</v>
      </c>
      <c r="K45" s="5" t="s">
        <v>263</v>
      </c>
      <c r="L45" s="5" t="s">
        <v>47</v>
      </c>
      <c r="M45" s="2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ht="16.5" customHeight="1">
      <c r="A46" s="3" t="s">
        <v>48</v>
      </c>
      <c r="B46" s="2"/>
      <c r="C46" s="5" t="s">
        <v>264</v>
      </c>
      <c r="D46" s="5" t="s">
        <v>265</v>
      </c>
      <c r="E46" s="5" t="s">
        <v>266</v>
      </c>
      <c r="F46" s="5" t="s">
        <v>267</v>
      </c>
      <c r="G46" s="5" t="s">
        <v>268</v>
      </c>
      <c r="H46" s="5" t="s">
        <v>269</v>
      </c>
      <c r="I46" s="5" t="s">
        <v>270</v>
      </c>
      <c r="J46" s="5" t="s">
        <v>184</v>
      </c>
      <c r="K46" s="5" t="s">
        <v>271</v>
      </c>
      <c r="L46" s="5" t="s">
        <v>73</v>
      </c>
      <c r="M46" s="2"/>
      <c r="N46" s="4"/>
      <c r="O46" s="3" t="s">
        <v>56</v>
      </c>
      <c r="P46" s="3" t="s">
        <v>57</v>
      </c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ht="16.5" customHeight="1">
      <c r="A47" s="3" t="s">
        <v>59</v>
      </c>
      <c r="B47" s="2"/>
      <c r="C47" s="5" t="s">
        <v>60</v>
      </c>
      <c r="D47" s="5" t="s">
        <v>60</v>
      </c>
      <c r="E47" s="5" t="s">
        <v>62</v>
      </c>
      <c r="F47" s="5" t="s">
        <v>60</v>
      </c>
      <c r="G47" s="5" t="s">
        <v>62</v>
      </c>
      <c r="H47" s="5" t="s">
        <v>62</v>
      </c>
      <c r="I47" s="5" t="s">
        <v>62</v>
      </c>
      <c r="J47" s="5" t="s">
        <v>60</v>
      </c>
      <c r="K47" s="5" t="s">
        <v>60</v>
      </c>
      <c r="L47" s="5" t="s">
        <v>60</v>
      </c>
      <c r="M47" s="2"/>
      <c r="N47" s="3" t="s">
        <v>65</v>
      </c>
      <c r="O47" s="12" t="str">
        <f>IFERROR(__xludf.DUMMYFUNCTION("IF(OR(COUNTA(C44:L44) = 0, COUNTA(C47:L47) = 0), """", IFERROR(TEXTJOIN("", "", TRUE, FILTER(C41:L41, (C47:L47 = ""W"") * (C44:L44 = MAX(FILTER(C44:L44, C47:L47 = ""W""))))), """"))"),"Austin")</f>
        <v>Austin</v>
      </c>
      <c r="P47" s="12" t="str">
        <f>IFERROR(__xludf.DUMMYFUNCTION("IF(COUNTA(C52:L52) = 0, """", IFERROR(TEXTJOIN("", "", TRUE, FILTER(C41:L41, C52:L52 = MAX(C52:L52))), """"))"),"Austin")</f>
        <v>Austin</v>
      </c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ht="16.5" customHeight="1">
      <c r="A48" s="1" t="s">
        <v>81</v>
      </c>
      <c r="B48" s="2"/>
      <c r="C48" s="4">
        <f t="shared" ref="C48:L48" si="13">IF(OR(C44="",C47=""),"",C35+COUNTIF(C47,"W"))</f>
        <v>4</v>
      </c>
      <c r="D48" s="4">
        <f t="shared" si="13"/>
        <v>4</v>
      </c>
      <c r="E48" s="4">
        <f t="shared" si="13"/>
        <v>3</v>
      </c>
      <c r="F48" s="4">
        <f t="shared" si="13"/>
        <v>3</v>
      </c>
      <c r="G48" s="4">
        <f t="shared" si="13"/>
        <v>2</v>
      </c>
      <c r="H48" s="4">
        <f t="shared" si="13"/>
        <v>3</v>
      </c>
      <c r="I48" s="4">
        <f t="shared" si="13"/>
        <v>2</v>
      </c>
      <c r="J48" s="4">
        <f t="shared" si="13"/>
        <v>3</v>
      </c>
      <c r="K48" s="4">
        <f t="shared" si="13"/>
        <v>2</v>
      </c>
      <c r="L48" s="4">
        <f t="shared" si="13"/>
        <v>3</v>
      </c>
      <c r="M48" s="2"/>
      <c r="N48" s="3" t="s">
        <v>82</v>
      </c>
      <c r="O48" s="4" t="str">
        <f>IFERROR(__xludf.DUMMYFUNCTION("IF(OR(COUNTA(C44:L44) = 0, COUNTA(C47:L47) = 0), """", IFERROR(TEXTJOIN("", "", TRUE, FILTER(C41:L41, (C47:L47 = ""L"") * (C44:L44 = MIN(FILTER(C44:L44, C47:L47 = ""L""))))), """"))"),"Nick")</f>
        <v>Nick</v>
      </c>
      <c r="P48" s="12" t="str">
        <f>IFERROR(__xludf.DUMMYFUNCTION("IF(COUNTA(C52:L52) = 0, """", IFERROR(TEXTJOIN("", "", TRUE, FILTER(C41:L41, C52:L52 = MIN(C52:L52))), """"))"),"Nick")</f>
        <v>Nick</v>
      </c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ht="16.5" customHeight="1">
      <c r="A49" s="1" t="s">
        <v>83</v>
      </c>
      <c r="B49" s="2"/>
      <c r="C49" s="27">
        <f t="shared" ref="C49:L49" si="14">IF(OR(C44="",C47=""),"",C36+COUNTIF(C47,"L"))</f>
        <v>0</v>
      </c>
      <c r="D49" s="27">
        <f t="shared" si="14"/>
        <v>0</v>
      </c>
      <c r="E49" s="27">
        <f t="shared" si="14"/>
        <v>1</v>
      </c>
      <c r="F49" s="27">
        <f t="shared" si="14"/>
        <v>1</v>
      </c>
      <c r="G49" s="27">
        <f t="shared" si="14"/>
        <v>2</v>
      </c>
      <c r="H49" s="27">
        <f t="shared" si="14"/>
        <v>1</v>
      </c>
      <c r="I49" s="27">
        <f t="shared" si="14"/>
        <v>2</v>
      </c>
      <c r="J49" s="27">
        <f t="shared" si="14"/>
        <v>1</v>
      </c>
      <c r="K49" s="27">
        <f t="shared" si="14"/>
        <v>2</v>
      </c>
      <c r="L49" s="27">
        <f t="shared" si="14"/>
        <v>1</v>
      </c>
      <c r="M49" s="2"/>
      <c r="N49" s="3" t="s">
        <v>84</v>
      </c>
      <c r="O49" s="12" t="str">
        <f>IFERROR(__xludf.DUMMYFUNCTION("IF(COUNTA(C44:L44) = 0, """", IFERROR(TEXTJOIN("", "", TRUE, FILTER(C41:L41, C44:L44 = MAX(C44:L44))), """"))"),"Clayton")</f>
        <v>Clayton</v>
      </c>
      <c r="P49" s="4" t="str">
        <f>IFERROR(__xludf.DUMMYFUNCTION("IF(COUNTA(C44:L44) = 0, """", IFERROR(TEXTJOIN("", "", TRUE, FILTER(C41:L41, C51:L51 = MAX(C51:L51))), """"))"),"Jake")</f>
        <v>Jake</v>
      </c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ht="16.5" customHeight="1">
      <c r="A50" s="3" t="s">
        <v>85</v>
      </c>
      <c r="B50" s="2"/>
      <c r="C50" s="24">
        <f t="shared" ref="C50:L50" si="15">IF(OR(C44="",C47=""),"",(C48/(C48+C49)))</f>
        <v>1</v>
      </c>
      <c r="D50" s="24">
        <f t="shared" si="15"/>
        <v>1</v>
      </c>
      <c r="E50" s="24">
        <f t="shared" si="15"/>
        <v>0.75</v>
      </c>
      <c r="F50" s="24">
        <f t="shared" si="15"/>
        <v>0.75</v>
      </c>
      <c r="G50" s="24">
        <f t="shared" si="15"/>
        <v>0.5</v>
      </c>
      <c r="H50" s="24">
        <f t="shared" si="15"/>
        <v>0.75</v>
      </c>
      <c r="I50" s="24">
        <f t="shared" si="15"/>
        <v>0.5</v>
      </c>
      <c r="J50" s="24">
        <f t="shared" si="15"/>
        <v>0.75</v>
      </c>
      <c r="K50" s="24">
        <f t="shared" si="15"/>
        <v>0.5</v>
      </c>
      <c r="L50" s="24">
        <f t="shared" si="15"/>
        <v>0.75</v>
      </c>
      <c r="M50" s="14"/>
      <c r="N50" s="3" t="s">
        <v>86</v>
      </c>
      <c r="O50" s="4" t="str">
        <f>IFERROR(__xludf.DUMMYFUNCTION("IF(COUNTA(C44:L44) = 0, """", IFERROR(TEXTJOIN("", "", TRUE, FILTER(C41:L41, C44:L44 = MIN(C44:L44))), """"))"),"Carson")</f>
        <v>Carson</v>
      </c>
      <c r="P50" s="4" t="str">
        <f>IFERROR(__xludf.DUMMYFUNCTION("IF(COUNTA(C44:L44) = 0, """", IFERROR(TEXTJOIN("", "", TRUE, FILTER(C41:L41, C51:L51 = MIN(C51:L51))), """"))"),"Carson")</f>
        <v>Carson</v>
      </c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ht="16.5" customHeight="1">
      <c r="A51" s="3" t="s">
        <v>87</v>
      </c>
      <c r="B51" s="2"/>
      <c r="C51" s="25">
        <f t="shared" ref="C51:L51" si="16">IF(C44="","",IF(((IF(C44 &lt;0,((-100/C44)+1),((C44/100)+1))+(IF(C38&lt;0,((-100/C38)+1),((C38/100)+1)))*(C35+C36))/(C35+C36+1))&lt;2,(-100/(((IF(C44 &lt;0,((-100/C44)+1),((C44/100)+1))+(IF(C38&lt;0,((-100/C38)+1),((C38/100)+1)))*(C35+C36))/(C35+C36+1))-1)),(((IF(C44 &lt;0,((-100/C44)+1),((C44/100)+1))+(IF(C38&lt;0,((-100/C38)+1),((C38/100)+1)))*(C35+C36))/(C35+C36+1))-1)*100))</f>
        <v>-132.7124297</v>
      </c>
      <c r="D51" s="25">
        <f t="shared" si="16"/>
        <v>-163.1728804</v>
      </c>
      <c r="E51" s="25">
        <f t="shared" si="16"/>
        <v>-107.6313754</v>
      </c>
      <c r="F51" s="25">
        <f t="shared" si="16"/>
        <v>-129.9030109</v>
      </c>
      <c r="G51" s="25">
        <f t="shared" si="16"/>
        <v>-133.733539</v>
      </c>
      <c r="H51" s="25">
        <f t="shared" si="16"/>
        <v>-107.5189135</v>
      </c>
      <c r="I51" s="25">
        <f t="shared" si="16"/>
        <v>-117.7239828</v>
      </c>
      <c r="J51" s="25">
        <f t="shared" si="16"/>
        <v>-118.0400169</v>
      </c>
      <c r="K51" s="25">
        <f t="shared" si="16"/>
        <v>-112.8152418</v>
      </c>
      <c r="L51" s="25">
        <f t="shared" si="16"/>
        <v>-139.7235475</v>
      </c>
      <c r="M51" s="14"/>
      <c r="N51" s="4"/>
      <c r="O51" s="12"/>
      <c r="P51" s="12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>
      <c r="A52" s="16" t="s">
        <v>88</v>
      </c>
      <c r="B52" s="2"/>
      <c r="C52" s="26">
        <f>IFERROR(__xludf.DUMMYFUNCTION("IF(OR(C44="""",C47=""""),"""",IF(REGEXMATCH(C47,""W""),IF(C44&lt;0,((-100/C44))*10+C39,((C44/100)*10+C39)),-10+C39))"),30.140356939173003)</f>
        <v>30.14035694</v>
      </c>
      <c r="D52" s="26">
        <f>IFERROR(__xludf.DUMMYFUNCTION("IF(OR(D44="""",D47=""""),"""",IF(REGEXMATCH(D47,""W""),IF(D44&lt;0,((-100/D44))*10+D39,((D44/100)*10+D39)),-10+D39))"),24.513877484465716)</f>
        <v>24.51387748</v>
      </c>
      <c r="E52" s="26">
        <f>IFERROR(__xludf.DUMMYFUNCTION("IF(OR(E44="""",E47=""""),"""",IF(REGEXMATCH(E47,""W""),IF(E44&lt;0,((-100/E44))*10+E39,((E44/100)*10+E39)),-10+E39))"),17.163884447287067)</f>
        <v>17.16388445</v>
      </c>
      <c r="F52" s="26">
        <f>IFERROR(__xludf.DUMMYFUNCTION("IF(OR(F44="""",F47=""""),"""",IF(REGEXMATCH(F47,""W""),IF(F44&lt;0,((-100/F44))*10+F39,((F44/100)*10+F39)),-10+F39))"),10.592203898050975)</f>
        <v>10.5922039</v>
      </c>
      <c r="G52" s="26">
        <f>IFERROR(__xludf.DUMMYFUNCTION("IF(OR(G44="""",G47=""""),"""",IF(REGEXMATCH(G47,""W""),IF(G44&lt;0,((-100/G44))*10+G39,((G44/100)*10+G39)),-10+G39))"),-5.617354740061161)</f>
        <v>-5.61735474</v>
      </c>
      <c r="H52" s="26">
        <f>IFERROR(__xludf.DUMMYFUNCTION("IF(OR(H44="""",H47=""""),"""",IF(REGEXMATCH(H47,""W""),IF(H44&lt;0,((-100/H44))*10+H39,((H44/100)*10+H39)),-10+H39))"),17.67894736842105)</f>
        <v>17.67894737</v>
      </c>
      <c r="I52" s="26">
        <f>IFERROR(__xludf.DUMMYFUNCTION("IF(OR(I44="""",I47=""""),"""",IF(REGEXMATCH(I47,""W""),IF(I44&lt;0,((-100/I44))*10+I39,((I44/100)*10+I39)),-10+I39))"),-6.81024044282996)</f>
        <v>-6.810240443</v>
      </c>
      <c r="J52" s="26">
        <f>IFERROR(__xludf.DUMMYFUNCTION("IF(OR(J44="""",J47=""""),"""",IF(REGEXMATCH(J47,""W""),IF(J44&lt;0,((-100/J44))*10+J39,((J44/100)*10+J39)),-10+J39))"),18.392307692307693)</f>
        <v>18.39230769</v>
      </c>
      <c r="K52" s="26">
        <f>IFERROR(__xludf.DUMMYFUNCTION("IF(OR(K44="""",K47=""""),"""",IF(REGEXMATCH(K47,""W""),IF(K44&lt;0,((-100/K44))*10+K39,((K44/100)*10+K39)),-10+K39))"),0.27401574803149664)</f>
        <v>0.274015748</v>
      </c>
      <c r="L52" s="26">
        <f>IFERROR(__xludf.DUMMYFUNCTION("IF(OR(L44="""",L47=""""),"""",IF(REGEXMATCH(L47,""W""),IF(L44&lt;0,((-100/L44))*10+L39,((L44/100)*10+L39)),-10+L39))"),10.153382797798715)</f>
        <v>10.1533828</v>
      </c>
      <c r="M52" s="14"/>
      <c r="N52" s="16" t="s">
        <v>89</v>
      </c>
      <c r="O52" s="10">
        <f>IFERROR(__xludf.DUMMYFUNCTION("IF(AND(C52="""",AND(D52="""",AND(E52="""",AND(F52="""",AND(G52="""",AND(H52="""",AND(I52="""",AND(J52="""",AND(K52="""",L52=""""))))))))),"""",(IF(C47="""",0,IF(REGEXMATCH(C47,""W""),IF(C44&lt;0,((-100/C44))*10,((C44/100)*10)),-10))+IF(D47="""",0,IF(REGEXMAT"&amp;"CH(D47,""W""),IF(D44&lt;0,((-100/D44))*10,((D44/100)*10)),-10))+IF(E47="""",0,IF(REGEXMATCH(E47,""W""),IF(E44&lt;0,((-100/E44))*10,((E44/100)*10)),-10))+IF(F47="""",0,IF(REGEXMATCH(F47,""W""),IF(F44&lt;0,((-100/F44))*10,((F44/100)*10)),-10))+IF(G47="""",0,IF(REGEX"&amp;"MATCH(G47,""W""),IF(G44&lt;0,((-100/G44))*10,((G44/100)*10)),-10))+IF(H47="""",0,IF(REGEXMATCH(H47,""W""),IF(H44&lt;0,((-100/H44))*10,((H44/100)*10)),-10))+IF(I47="""",0,IF(REGEXMATCH(I47,""W""),IF(I44&lt;0,((-100/I44))*10,((I44/100)*10)),-10))+IF(J47="""",0,IF(RE"&amp;"GEXMATCH(J47,""W""),IF(J44&lt;0,((-100/J44))*10,((J44/100)*10)),-10))+IF(K47="""",0,IF(REGEXMATCH(K47,""W""),IF(K44&lt;0,((-100/K44))*10,((K44/100)*10)),-10))+IF(L47="""",0,IF(REGEXMATCH(L47,""W""),IF(L44&lt;0,((-100/L44))*10,((L44/100)*10)),-10))))"),2.678408975450008)</f>
        <v>2.678408975</v>
      </c>
      <c r="P52" s="10">
        <f>IFERROR(__xludf.DUMMYFUNCTION("IF(AND(C52="""",AND(D52="""",AND(E52="""",AND(F52="""",AND(G52="""",AND(H52="""",AND(I52="""",AND(J52="""",AND(K52="""",L52=""""))))))))),"""",(P39+IF(C47="""",0,IF(REGEXMATCH(C47,""W""),IF(C44&lt;0,((-100/C44))*10,((C44/100)*10)),-10))+IF(D47="""",0,IF(REGE"&amp;"XMATCH(D47,""W""),IF(D44&lt;0,((-100/D44))*10,((D44/100)*10)),-10))+IF(E47="""",0,IF(REGEXMATCH(E47,""W""),IF(E44&lt;0,((-100/E44))*10,((E44/100)*10)),-10))+IF(F47="""",0,IF(REGEXMATCH(F47,""W""),IF(F44&lt;0,((-100/F44))*10,((F44/100)*10)),-10))+IF(G47="""",0,IF(R"&amp;"EGEXMATCH(G47,""W""),IF(G44&lt;0,((-100/G44))*10,((G44/100)*10)),-10))+IF(H47="""",0,IF(REGEXMATCH(H47,""W""),IF(H44&lt;0,((-100/H44))*10,((H44/100)*10)),-10))+IF(I47="""",0,IF(REGEXMATCH(I47,""W""),IF(I44&lt;0,((-100/I44))*10,((I44/100)*10)),-10))+IF(J47="""",0,I"&amp;"F(REGEXMATCH(J47,""W""),IF(J44&lt;0,((-100/J44))*10,((J44/100)*10)),-10))+IF(K47="""",0,IF(REGEXMATCH(K47,""W""),IF(K44&lt;0,((-100/K44))*10,((K44/100)*10)),-10))+IF(L47="""",0,IF(REGEXMATCH(L47,""W""),IF(L44&lt;0,((-100/L44))*10,((L44/100)*10)),-10))))"),116.48138119264459)</f>
        <v>116.4813812</v>
      </c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 ht="16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ht="16.5" customHeight="1">
      <c r="A54" s="3" t="s">
        <v>272</v>
      </c>
      <c r="B54" s="2"/>
      <c r="C54" s="3" t="s">
        <v>1</v>
      </c>
      <c r="D54" s="3" t="s">
        <v>2</v>
      </c>
      <c r="E54" s="3" t="s">
        <v>3</v>
      </c>
      <c r="F54" s="3" t="s">
        <v>4</v>
      </c>
      <c r="G54" s="3" t="s">
        <v>5</v>
      </c>
      <c r="H54" s="3" t="s">
        <v>6</v>
      </c>
      <c r="I54" s="3" t="s">
        <v>7</v>
      </c>
      <c r="J54" s="3" t="s">
        <v>8</v>
      </c>
      <c r="K54" s="3" t="s">
        <v>9</v>
      </c>
      <c r="L54" s="3" t="s">
        <v>10</v>
      </c>
      <c r="M54" s="2"/>
      <c r="N54" s="4"/>
      <c r="O54" s="3" t="s">
        <v>11</v>
      </c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 ht="16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 ht="16.5" customHeight="1">
      <c r="A56" s="3" t="s">
        <v>12</v>
      </c>
      <c r="B56" s="2"/>
      <c r="C56" s="5" t="s">
        <v>273</v>
      </c>
      <c r="D56" s="5" t="s">
        <v>274</v>
      </c>
      <c r="E56" s="5" t="s">
        <v>275</v>
      </c>
      <c r="F56" s="5" t="s">
        <v>276</v>
      </c>
      <c r="G56" s="5" t="s">
        <v>277</v>
      </c>
      <c r="H56" s="5" t="s">
        <v>278</v>
      </c>
      <c r="I56" s="5" t="s">
        <v>279</v>
      </c>
      <c r="J56" s="5" t="s">
        <v>280</v>
      </c>
      <c r="K56" s="5" t="s">
        <v>281</v>
      </c>
      <c r="L56" s="5" t="s">
        <v>282</v>
      </c>
      <c r="M56" s="2"/>
      <c r="N56" s="3" t="s">
        <v>13</v>
      </c>
      <c r="O56" s="7">
        <f>IF(AND(C57="",AND(D57="",AND(E57="",AND(F57="",AND(G57="",AND(H57="",AND(I57="",AND(J57="",AND(K57="",L57=""))))))))),"",IF(((IF(C57="",1,IF(C57&gt;0,(C57/100)+1,(100/((-1)*C57))+1)))*(IF(D57="",1,IF(D57&gt;0,(D57/100)+1,(100/((-1)*D57))+1)))*(IF(E57="",1,IF(E57&gt;0,(E57/100)+1,(100/((-1)*E57))+1)))*(IF(F57="",1,IF(F57&gt;0,(F57/100)+1,(100/((-1)*F57))+1)))*(IF(G57="",1,IF(G57&gt;0,(G57/100)+1,(100/((-1)*G57))+1)))*(IF(H57="",1,IF(H57&gt;0,(H57/100)+1,(100/((-1)*H57))+1)))*(IF(I57="",1,IF(I57&gt;0,(I57/100)+1,(100/((-1)*I57))+1)))*(IF(J57="",1,IF(J57&gt;0,(J57/100)+1,(100/((-1)*J57))+1)))*(IF(K57="",1,IF(K57&gt;0,(K57/100)+1,(100/((-1)*K57))+1)))*(IF(L57="",1,IF(L57&gt;0,(L57/100)+1,(100/((-1)*L57))+1))))&lt;2,((-100)/(((IF(C57="",1,IF(C57&gt;0,(C57/100)+1,(100/((-1)*C57))+1)))*(IF(D57="",1,IF(D57&gt;0,(D57/100)+1,(100/((-1)*D57))+1)))*(IF(E57="",1,IF(E57&gt;0,(E57/100)+1,(100/((-1)*E57))+1)))*(IF(F57="",1,IF(F57&gt;0,(F57/100)+1,(100/((-1)*F57))+1)))*(IF(G57="",1,IF(G57&gt;0,(G57/100)+1,(100/((-1)*G57))+1)))*(IF(H57="",1,IF(H57&gt;0,(H57/100)+1,(100/((-1)*H57))+1)))*(IF(I57="",1,IF(I57&gt;0,(I57/100)+1,(100/((-1)*I57))+1)))*(IF(J57="",1,IF(J57&gt;0,(J57/100)+1,(100/((-1)*J57))+1)))*(IF(K57="",1,IF(K57&gt;0,(K57/100)+1,(100/((-1)*K57))+1)))*(IF(L57="",1,IF(L57&gt;0,(L57/100)+1,(100/((-1)*L57))+1))))-1)),((((IF(C57="",1,IF(C57&gt;0,(C57/100)+1,(100/((-1)*C57))+1)))*(IF(D57="",1,IF(D57&gt;0,(D57/100)+1,(100/((-1)*D57))+1)))*(IF(E57="",1,IF(E57&gt;0,(E57/100)+1,(100/((-1)*E57))+1)))*(IF(F57="",1,IF(F57&gt;0,(F57/100)+1,(100/((-1)*F57))+1)))*(IF(G57="",1,IF(G57&gt;0,(G57/100)+1,(100/((-1)*G57))+1)))*(IF(H57="",1,IF(H57&gt;0,(H57/100)+1,(100/((-1)*H57))+1)))*(IF(I57="",1,IF(I57&gt;0,(I57/100)+1,(100/((-1)*I57))+1)))*(IF(J57="",1,IF(J57&gt;0,(J57/100)+1,(100/((-1)*J57))+1)))*(IF(K57="",1,IF(K57&gt;0,(K57/100)+1,(100/((-1)*K57))+1)))*(IF(L57="",1,IF(L57&gt;0,(L57/100)+1,(100/((-1)*L57))+1))))-1)*(100))))</f>
        <v>64833.22963</v>
      </c>
      <c r="P56" s="4"/>
      <c r="Q56" s="8" t="s">
        <v>35</v>
      </c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 ht="16.5" customHeight="1">
      <c r="A57" s="3" t="s">
        <v>13</v>
      </c>
      <c r="B57" s="2"/>
      <c r="C57" s="5">
        <v>-115.0</v>
      </c>
      <c r="D57" s="5">
        <v>-135.0</v>
      </c>
      <c r="E57" s="5">
        <v>-111.0</v>
      </c>
      <c r="F57" s="5">
        <v>-185.0</v>
      </c>
      <c r="G57" s="5">
        <v>159.0</v>
      </c>
      <c r="H57" s="5">
        <v>-139.0</v>
      </c>
      <c r="I57" s="5">
        <v>-123.0</v>
      </c>
      <c r="J57" s="5">
        <v>145.0</v>
      </c>
      <c r="K57" s="5">
        <v>-112.0</v>
      </c>
      <c r="L57" s="5">
        <v>-122.0</v>
      </c>
      <c r="M57" s="2">
        <v>4.0</v>
      </c>
      <c r="N57" s="3" t="s">
        <v>36</v>
      </c>
      <c r="O57" s="10">
        <f>IF(AND(C57="",AND(D57="",AND(E57="",AND(F57="",AND(G57="",AND(H57="",AND(I57="",AND(J57="",AND(K57="",L57=""))))))))),"",10+IF((IF(((IF(C57="",1,IF(C57&gt;0,(C57/100)+1,(100/((-1)*C57))+1)))*(IF(D57="",1,IF(D57&gt;0,(D57/100)+1,(100/((-1)*D57))+1)))*(IF(E57="",1,IF(E57&gt;0,(E57/100)+1,(100/((-1)*E57))+1)))*(IF(F57="",1,IF(F57&gt;0,(F57/100)+1,(100/((-1)*F57))+1)))*(IF(G57="",1,IF(G57&gt;0,(G57/100)+1,(100/((-1)*G57))+1)))*(IF(H57="",1,IF(H57&gt;0,(H57/100)+1,(100/((-1)*H57))+1)))*(IF(I57="",1,IF(I57&gt;0,(I57/100)+1,(100/((-1)*I57))+1)))*(IF(J57="",1,IF(J57&gt;0,(J57/100)+1,(100/((-1)*J57))+1)))*(IF(K57="",1,IF(K57&gt;0,(K57/100)+1,(100/((-1)*K57))+1)))*(IF(L57="",1,IF(L57&gt;0,(L57/100)+1,(100/((-1)*L57))+1))))&lt;2,((-100)/(((IF(C57="",1,IF(C57&gt;0,(C57/100)+1,(100/((-1)*C57))+1)))*(IF(D57="",1,IF(D57&gt;0,(D57/100)+1,(100/((-1)*D57))+1)))*(IF(E57="",1,IF(E57&gt;0,(E57/100)+1,(100/((-1)*E57))+1)))*(IF(F57="",1,IF(F57&gt;0,(F57/100)+1,(100/((-1)*F57))+1)))*(IF(G57="",1,IF(G57&gt;0,(G57/100)+1,(100/((-1)*G57))+1)))*(IF(H57="",1,IF(H57&gt;0,(H57/100)+1,(100/((-1)*H57))+1)))*(IF(I57="",1,IF(I57&gt;0,(I57/100)+1,(100/((-1)*I57))+1)))*(IF(J57="",1,IF(J57&gt;0,(J57/100)+1,(100/((-1)*J57))+1)))*(IF(K57="",1,IF(K57&gt;0,(K57/100)+1,(100/((-1)*K57))+1)))*(IF(L57="",1,IF(L57&gt;0,(L57/100)+1,(100/((-1)*L57))+1))))-1)),((((IF(C57="",1,IF(C57&gt;0,(C57/100)+1,(100/((-1)*C57))+1)))*(IF(D57="",1,IF(D57&gt;0,(D57/100)+1,(100/((-1)*D57))+1)))*(IF(E57="",1,IF(E57&gt;0,(E57/100)+1,(100/((-1)*E57))+1)))*(IF(F57="",1,IF(F57&gt;0,(F57/100)+1,(100/((-1)*F57))+1)))*(IF(G57="",1,IF(G57&gt;0,(G57/100)+1,(100/((-1)*G57))+1)))*(IF(H57="",1,IF(H57&gt;0,(H57/100)+1,(100/((-1)*H57))+1)))*(IF(I57="",1,IF(I57&gt;0,(I57/100)+1,(100/((-1)*I57))+1)))*(IF(J57="",1,IF(J57&gt;0,(J57/100)+1,(100/((-1)*J57))+1)))*(IF(K57="",1,IF(K57&gt;0,(K57/100)+1,(100/((-1)*K57))+1)))*(IF(L57="",1,IF(L57&gt;0,(L57/100)+1,(100/((-1)*L57))+1))))-1)*(100))))&lt;0,(((-100)/((IF(((IF(C57="",1,IF(C57&gt;0,(C57/100)+1,(100/((-1)*C57))+1)))*(IF(D57="",1,IF(D57&gt;0,(D57/100)+1,(100/((-1)*D57))+1)))*(IF(E57="",1,IF(E57&gt;0,(E57/100)+1,(100/((-1)*E57))+1)))*(IF(F57="",1,IF(F57&gt;0,(F57/100)+1,(100/((-1)*F57))+1)))*(IF(G57="",1,IF(G57&gt;0,(G57/100)+1,(100/((-1)*G57))+1)))*(IF(H57="",1,IF(H57&gt;0,(H57/100)+1,(100/((-1)*H57))+1)))*(IF(I57="",1,IF(I57&gt;0,(I57/100)+1,(100/((-1)*I57))+1)))*(IF(J57="",1,IF(J57&gt;0,(J57/100)+1,(100/((-1)*J57))+1)))*(IF(K57="",1,IF(K57&gt;0,(K57/100)+1,(100/((-1)*K57))+1)))*(IF(L57="",1,IF(L57&gt;0,(L57/100)+1,(100/((-1)*L57))+1))))&lt;2,((-100)/(((IF(C57="",1,IF(C57&gt;0,(C57/100)+1,(100/((-1)*C57))+1)))*(IF(D57="",1,IF(D57&gt;0,(D57/100)+1,(100/((-1)*D57))+1)))*(IF(E57="",1,IF(E57&gt;0,(E57/100)+1,(100/((-1)*E57))+1)))*(IF(F57="",1,IF(F57&gt;0,(F57/100)+1,(100/((-1)*F57))+1)))*(IF(G57="",1,IF(G57&gt;0,(G57/100)+1,(100/((-1)*G57))+1)))*(IF(H57="",1,IF(H57&gt;0,(H57/100)+1,(100/((-1)*H57))+1)))*(IF(I57="",1,IF(I57&gt;0,(I57/100)+1,(100/((-1)*I57))+1)))*(IF(J57="",1,IF(J57&gt;0,(J57/100)+1,(100/((-1)*J57))+1)))*(IF(K57="",1,IF(K57&gt;0,(K57/100)+1,(100/((-1)*K57))+1)))*(IF(L57="",1,IF(L57&gt;0,(L57/100)+1,(100/((-1)*L57))+1))))-1)),((((IF(C57="",1,IF(C57&gt;0,(C57/100)+1,(100/((-1)*C57))+1)))*(IF(D57="",1,IF(D57&gt;0,(D57/100)+1,(100/((-1)*D57))+1)))*(IF(E57="",1,IF(E57&gt;0,(E57/100)+1,(100/((-1)*E57))+1)))*(IF(F57="",1,IF(F57&gt;0,(F57/100)+1,(100/((-1)*F57))+1)))*(IF(G57="",1,IF(G57&gt;0,(G57/100)+1,(100/((-1)*G57))+1)))*(IF(H57="",1,IF(H57&gt;0,(H57/100)+1,(100/((-1)*H57))+1)))*(IF(I57="",1,IF(I57&gt;0,(I57/100)+1,(100/((-1)*I57))+1)))*(IF(J57="",1,IF(J57&gt;0,(J57/100)+1,(100/((-1)*J57))+1)))*(IF(K57="",1,IF(K57&gt;0,(K57/100)+1,(100/((-1)*K57))+1)))*(IF(L57="",1,IF(L57&gt;0,(L57/100)+1,(100/((-1)*L57))+1))))-1)*(100))))))*10),(((IF(((IF(C57="",1,IF(C57&gt;0,(C57/100)+1,(100/((-1)*C57))+1)))*(IF(D57="",1,IF(D57&gt;0,(D57/100)+1,(100/((-1)*D57))+1)))*(IF(E57="",1,IF(E57&gt;0,(E57/100)+1,(100/((-1)*E57))+1)))*(IF(F57="",1,IF(F57&gt;0,(F57/100)+1,(100/((-1)*F57))+1)))*(IF(G57="",1,IF(G57&gt;0,(G57/100)+1,(100/((-1)*G57))+1)))*(IF(H57="",1,IF(H57&gt;0,(H57/100)+1,(100/((-1)*H57))+1)))*(IF(I57="",1,IF(I57&gt;0,(I57/100)+1,(100/((-1)*I57))+1)))*(IF(J57="",1,IF(J57&gt;0,(J57/100)+1,(100/((-1)*J57))+1)))*(IF(K57="",1,IF(K57&gt;0,(K57/100)+1,(100/((-1)*K57))+1)))*(IF(L57="",1,IF(L57&gt;0,(L57/100)+1,(100/((-1)*L57))+1))))&lt;2,((-100)/(((IF(C57="",1,IF(C57&gt;0,(C57/100)+1,(100/((-1)*C57))+1)))*(IF(D57="",1,IF(D57&gt;0,(D57/100)+1,(100/((-1)*D57))+1)))*(IF(E57="",1,IF(E57&gt;0,(E57/100)+1,(100/((-1)*E57))+1)))*(IF(F57="",1,IF(F57&gt;0,(F57/100)+1,(100/((-1)*F57))+1)))*(IF(G57="",1,IF(G57&gt;0,(G57/100)+1,(100/((-1)*G57))+1)))*(IF(H57="",1,IF(H57&gt;0,(H57/100)+1,(100/((-1)*H57))+1)))*(IF(I57="",1,IF(I57&gt;0,(I57/100)+1,(100/((-1)*I57))+1)))*(IF(J57="",1,IF(J57&gt;0,(J57/100)+1,(100/((-1)*J57))+1)))*(IF(K57="",1,IF(K57&gt;0,(K57/100)+1,(100/((-1)*K57))+1)))*(IF(L57="",1,IF(L57&gt;0,(L57/100)+1,(100/((-1)*L57))+1))))-1)),((((IF(C57="",1,IF(C57&gt;0,(C57/100)+1,(100/((-1)*C57))+1)))*(IF(D57="",1,IF(D57&gt;0,(D57/100)+1,(100/((-1)*D57))+1)))*(IF(E57="",1,IF(E57&gt;0,(E57/100)+1,(100/((-1)*E57))+1)))*(IF(F57="",1,IF(F57&gt;0,(F57/100)+1,(100/((-1)*F57))+1)))*(IF(G57="",1,IF(G57&gt;0,(G57/100)+1,(100/((-1)*G57))+1)))*(IF(H57="",1,IF(H57&gt;0,(H57/100)+1,(100/((-1)*H57))+1)))*(IF(I57="",1,IF(I57&gt;0,(I57/100)+1,(100/((-1)*I57))+1)))*(IF(J57="",1,IF(J57&gt;0,(J57/100)+1,(100/((-1)*J57))+1)))*(IF(K57="",1,IF(K57&gt;0,(K57/100)+1,(100/((-1)*K57))+1)))*(IF(L57="",1,IF(L57&gt;0,(L57/100)+1,(100/((-1)*L57))+1))))-1)*(100))))/100)*10)))</f>
        <v>6493.322963</v>
      </c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 ht="16.5" customHeight="1">
      <c r="A58" s="3" t="s">
        <v>37</v>
      </c>
      <c r="B58" s="2"/>
      <c r="C58" s="5" t="s">
        <v>311</v>
      </c>
      <c r="D58" s="5" t="s">
        <v>312</v>
      </c>
      <c r="E58" s="5" t="s">
        <v>313</v>
      </c>
      <c r="F58" s="5" t="s">
        <v>314</v>
      </c>
      <c r="G58" s="5" t="s">
        <v>315</v>
      </c>
      <c r="H58" s="5" t="s">
        <v>316</v>
      </c>
      <c r="I58" s="5" t="s">
        <v>317</v>
      </c>
      <c r="J58" s="5" t="s">
        <v>318</v>
      </c>
      <c r="K58" s="5" t="s">
        <v>319</v>
      </c>
      <c r="L58" s="5" t="s">
        <v>320</v>
      </c>
      <c r="M58" s="2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 ht="16.5" customHeight="1">
      <c r="A59" s="3" t="s">
        <v>48</v>
      </c>
      <c r="B59" s="2"/>
      <c r="C59" s="5" t="s">
        <v>321</v>
      </c>
      <c r="D59" s="5" t="s">
        <v>322</v>
      </c>
      <c r="E59" s="5" t="s">
        <v>323</v>
      </c>
      <c r="F59" s="5" t="s">
        <v>324</v>
      </c>
      <c r="G59" s="5" t="s">
        <v>325</v>
      </c>
      <c r="H59" s="5" t="s">
        <v>326</v>
      </c>
      <c r="I59" s="5" t="s">
        <v>325</v>
      </c>
      <c r="J59" s="5" t="s">
        <v>327</v>
      </c>
      <c r="K59" s="11">
        <v>45633.0</v>
      </c>
      <c r="L59" s="5" t="s">
        <v>328</v>
      </c>
      <c r="M59" s="2"/>
      <c r="N59" s="4"/>
      <c r="O59" s="3" t="s">
        <v>56</v>
      </c>
      <c r="P59" s="3" t="s">
        <v>57</v>
      </c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 ht="16.5" customHeight="1">
      <c r="A60" s="3" t="s">
        <v>59</v>
      </c>
      <c r="B60" s="2"/>
      <c r="C60" s="5" t="s">
        <v>62</v>
      </c>
      <c r="D60" s="5" t="s">
        <v>62</v>
      </c>
      <c r="E60" s="5" t="s">
        <v>60</v>
      </c>
      <c r="F60" s="5" t="s">
        <v>60</v>
      </c>
      <c r="G60" s="5" t="s">
        <v>62</v>
      </c>
      <c r="H60" s="5" t="s">
        <v>60</v>
      </c>
      <c r="I60" s="5" t="s">
        <v>62</v>
      </c>
      <c r="J60" s="5" t="s">
        <v>60</v>
      </c>
      <c r="K60" s="5" t="s">
        <v>62</v>
      </c>
      <c r="L60" s="5" t="s">
        <v>62</v>
      </c>
      <c r="M60" s="2"/>
      <c r="N60" s="3" t="s">
        <v>65</v>
      </c>
      <c r="O60" s="12" t="str">
        <f>IFERROR(__xludf.DUMMYFUNCTION("IF(OR(COUNTA(C57:L57) = 0, COUNTA(C60:L60) = 0), """", IFERROR(TEXTJOIN("", "", TRUE, FILTER(C54:L54, (C60:L60 = ""W"") * (C57:L57 = MAX(FILTER(C57:L57, C60:L60 = ""W""))))), """"))"),"Tanner")</f>
        <v>Tanner</v>
      </c>
      <c r="P60" s="12" t="str">
        <f>IFERROR(__xludf.DUMMYFUNCTION("IF(COUNTA(C65:L65) = 0, """", IFERROR(TEXTJOIN("", "", TRUE, FILTER(C54:L54, C65:L65 = MAX(C65:L65))), """"))"),"Tanner")</f>
        <v>Tanner</v>
      </c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 ht="16.5" customHeight="1">
      <c r="A61" s="1" t="s">
        <v>81</v>
      </c>
      <c r="B61" s="2"/>
      <c r="C61" s="4">
        <f t="shared" ref="C61:L61" si="17">IF(OR(C57="",C60=""),"",C48+COUNTIF(C60,"W"))</f>
        <v>4</v>
      </c>
      <c r="D61" s="4">
        <f t="shared" si="17"/>
        <v>4</v>
      </c>
      <c r="E61" s="4">
        <f t="shared" si="17"/>
        <v>4</v>
      </c>
      <c r="F61" s="4">
        <f t="shared" si="17"/>
        <v>4</v>
      </c>
      <c r="G61" s="4">
        <f t="shared" si="17"/>
        <v>2</v>
      </c>
      <c r="H61" s="4">
        <f t="shared" si="17"/>
        <v>4</v>
      </c>
      <c r="I61" s="4">
        <f t="shared" si="17"/>
        <v>2</v>
      </c>
      <c r="J61" s="4">
        <f t="shared" si="17"/>
        <v>4</v>
      </c>
      <c r="K61" s="4">
        <f t="shared" si="17"/>
        <v>2</v>
      </c>
      <c r="L61" s="4">
        <f t="shared" si="17"/>
        <v>3</v>
      </c>
      <c r="M61" s="2"/>
      <c r="N61" s="3" t="s">
        <v>82</v>
      </c>
      <c r="O61" s="4" t="str">
        <f>IFERROR(__xludf.DUMMYFUNCTION("IF(OR(COUNTA(C57:L57) = 0, COUNTA(C60:L60) = 0), """", IFERROR(TEXTJOIN("", "", TRUE, FILTER(C54:L54, (C60:L60 = ""L"") * (C57:L57 = MIN(FILTER(C57:L57, C60:L60 = ""L""))))), """"))"),"Carson")</f>
        <v>Carson</v>
      </c>
      <c r="P61" s="12" t="str">
        <f>IFERROR(__xludf.DUMMYFUNCTION("IF(COUNTA(C65:L65) = 0, """", IFERROR(TEXTJOIN("", "", TRUE, FILTER(C54:L54, C65:L65 = MIN(C65:L65))), """"))"),"Nick")</f>
        <v>Nick</v>
      </c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 ht="16.5" customHeight="1">
      <c r="A62" s="1" t="s">
        <v>83</v>
      </c>
      <c r="B62" s="2"/>
      <c r="C62" s="27">
        <f t="shared" ref="C62:L62" si="18">IF(OR(C57="",C60=""),"",C49+COUNTIF(C60,"L"))</f>
        <v>1</v>
      </c>
      <c r="D62" s="27">
        <f t="shared" si="18"/>
        <v>1</v>
      </c>
      <c r="E62" s="27">
        <f t="shared" si="18"/>
        <v>1</v>
      </c>
      <c r="F62" s="27">
        <f t="shared" si="18"/>
        <v>1</v>
      </c>
      <c r="G62" s="27">
        <f t="shared" si="18"/>
        <v>3</v>
      </c>
      <c r="H62" s="27">
        <f t="shared" si="18"/>
        <v>1</v>
      </c>
      <c r="I62" s="27">
        <f t="shared" si="18"/>
        <v>3</v>
      </c>
      <c r="J62" s="27">
        <f t="shared" si="18"/>
        <v>1</v>
      </c>
      <c r="K62" s="27">
        <f t="shared" si="18"/>
        <v>3</v>
      </c>
      <c r="L62" s="27">
        <f t="shared" si="18"/>
        <v>2</v>
      </c>
      <c r="M62" s="2"/>
      <c r="N62" s="3" t="s">
        <v>84</v>
      </c>
      <c r="O62" s="12" t="str">
        <f>IFERROR(__xludf.DUMMYFUNCTION("IF(COUNTA(C57:L57) = 0, """", IFERROR(TEXTJOIN("", "", TRUE, FILTER(C54:L54, C57:L57 = MAX(C57:L57))), """"))"),"Hunter")</f>
        <v>Hunter</v>
      </c>
      <c r="P62" s="4" t="str">
        <f>IFERROR(__xludf.DUMMYFUNCTION("IF(COUNTA(C57:L57) = 0, """", IFERROR(TEXTJOIN("", "", TRUE, FILTER(C54:L54, C64:L64 = MAX(C64:L64))), """"))"),"Tanner")</f>
        <v>Tanner</v>
      </c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 ht="16.5" customHeight="1">
      <c r="A63" s="3" t="s">
        <v>85</v>
      </c>
      <c r="B63" s="2"/>
      <c r="C63" s="24">
        <f t="shared" ref="C63:L63" si="19">IF(OR(C57="",C60=""),"",(C61/(C61+C62)))</f>
        <v>0.8</v>
      </c>
      <c r="D63" s="24">
        <f t="shared" si="19"/>
        <v>0.8</v>
      </c>
      <c r="E63" s="24">
        <f t="shared" si="19"/>
        <v>0.8</v>
      </c>
      <c r="F63" s="24">
        <f t="shared" si="19"/>
        <v>0.8</v>
      </c>
      <c r="G63" s="24">
        <f t="shared" si="19"/>
        <v>0.4</v>
      </c>
      <c r="H63" s="24">
        <f t="shared" si="19"/>
        <v>0.8</v>
      </c>
      <c r="I63" s="24">
        <f t="shared" si="19"/>
        <v>0.4</v>
      </c>
      <c r="J63" s="24">
        <f t="shared" si="19"/>
        <v>0.8</v>
      </c>
      <c r="K63" s="24">
        <f t="shared" si="19"/>
        <v>0.4</v>
      </c>
      <c r="L63" s="24">
        <f t="shared" si="19"/>
        <v>0.6</v>
      </c>
      <c r="M63" s="14"/>
      <c r="N63" s="3" t="s">
        <v>86</v>
      </c>
      <c r="O63" s="4" t="str">
        <f>IFERROR(__xludf.DUMMYFUNCTION("IF(COUNTA(C57:L57) = 0, """", IFERROR(TEXTJOIN("", "", TRUE, FILTER(C54:L54, C57:L57 = MIN(C57:L57))), """"))"),"Dan")</f>
        <v>Dan</v>
      </c>
      <c r="P63" s="4" t="str">
        <f>IFERROR(__xludf.DUMMYFUNCTION("IF(COUNTA(C57:L57) = 0, """", IFERROR(TEXTJOIN("", "", TRUE, FILTER(C54:L54, C64:L64 = MIN(C64:L64))), """"))"),"Carson")</f>
        <v>Carson</v>
      </c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 ht="16.5" customHeight="1">
      <c r="A64" s="3" t="s">
        <v>87</v>
      </c>
      <c r="B64" s="2"/>
      <c r="C64" s="25">
        <f t="shared" ref="C64:L64" si="20">IF(C57="","",IF(((IF(C57 &lt;0,((-100/C57)+1),((C57/100)+1))+(IF(C51&lt;0,((-100/C51)+1),((C51/100)+1)))*(C48+C49))/(C48+C49+1))&lt;2,(-100/(((IF(C57 &lt;0,((-100/C57)+1),((C57/100)+1))+(IF(C51&lt;0,((-100/C51)+1),((C51/100)+1)))*(C48+C49))/(C48+C49+1))-1)),(((IF(C57 &lt;0,((-100/C57)+1),((C57/100)+1))+(IF(C51&lt;0,((-100/C51)+1),((C51/100)+1)))*(C48+C49))/(C48+C49+1))-1)*100))</f>
        <v>-128.7464936</v>
      </c>
      <c r="D64" s="25">
        <f t="shared" si="20"/>
        <v>-156.6352989</v>
      </c>
      <c r="E64" s="25">
        <f t="shared" si="20"/>
        <v>-108.2886435</v>
      </c>
      <c r="F64" s="25">
        <f t="shared" si="20"/>
        <v>-138.1306693</v>
      </c>
      <c r="G64" s="25">
        <f t="shared" si="20"/>
        <v>-109.1459428</v>
      </c>
      <c r="H64" s="25">
        <f t="shared" si="20"/>
        <v>-112.6202183</v>
      </c>
      <c r="I64" s="25">
        <f t="shared" si="20"/>
        <v>-118.742663</v>
      </c>
      <c r="J64" s="25">
        <f t="shared" si="20"/>
        <v>-103.333939</v>
      </c>
      <c r="K64" s="25">
        <f t="shared" si="20"/>
        <v>-112.6512454</v>
      </c>
      <c r="L64" s="25">
        <f t="shared" si="20"/>
        <v>-135.7785037</v>
      </c>
      <c r="M64" s="14"/>
      <c r="N64" s="4"/>
      <c r="O64" s="12"/>
      <c r="P64" s="12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>
      <c r="A65" s="16" t="s">
        <v>88</v>
      </c>
      <c r="B65" s="2"/>
      <c r="C65" s="26">
        <f>IFERROR(__xludf.DUMMYFUNCTION("IF(OR(C57="""",C60=""""),"""",IF(REGEXMATCH(C60,""W""),IF(C57&lt;0,((-100/C57))*10+C52,((C57/100)*10+C52)),-10+C52))"),20.140356939173003)</f>
        <v>20.14035694</v>
      </c>
      <c r="D65" s="26">
        <f>IFERROR(__xludf.DUMMYFUNCTION("IF(OR(D57="""",D60=""""),"""",IF(REGEXMATCH(D60,""W""),IF(D57&lt;0,((-100/D57))*10+D52,((D57/100)*10+D52)),-10+D52))"),14.513877484465716)</f>
        <v>14.51387748</v>
      </c>
      <c r="E65" s="26">
        <f>IFERROR(__xludf.DUMMYFUNCTION("IF(OR(E57="""",E60=""""),"""",IF(REGEXMATCH(E60,""W""),IF(E57&lt;0,((-100/E57))*10+E52,((E57/100)*10+E52)),-10+E52))"),26.172893456296077)</f>
        <v>26.17289346</v>
      </c>
      <c r="F65" s="26">
        <f>IFERROR(__xludf.DUMMYFUNCTION("IF(OR(F57="""",F60=""""),"""",IF(REGEXMATCH(F60,""W""),IF(F57&lt;0,((-100/F57))*10+F52,((F57/100)*10+F52)),-10+F52))"),15.99760930345638)</f>
        <v>15.9976093</v>
      </c>
      <c r="G65" s="26">
        <f>IFERROR(__xludf.DUMMYFUNCTION("IF(OR(G57="""",G60=""""),"""",IF(REGEXMATCH(G60,""W""),IF(G57&lt;0,((-100/G57))*10+G52,((G57/100)*10+G52)),-10+G52))"),-15.617354740061161)</f>
        <v>-15.61735474</v>
      </c>
      <c r="H65" s="26">
        <f>IFERROR(__xludf.DUMMYFUNCTION("IF(OR(H57="""",H60=""""),"""",IF(REGEXMATCH(H60,""W""),IF(H57&lt;0,((-100/H57))*10+H52,((H57/100)*10+H52)),-10+H52))"),24.873191972737594)</f>
        <v>24.87319197</v>
      </c>
      <c r="I65" s="26">
        <f>IFERROR(__xludf.DUMMYFUNCTION("IF(OR(I57="""",I60=""""),"""",IF(REGEXMATCH(I60,""W""),IF(I57&lt;0,((-100/I57))*10+I52,((I57/100)*10+I52)),-10+I52))"),-16.810240442829958)</f>
        <v>-16.81024044</v>
      </c>
      <c r="J65" s="26">
        <f>IFERROR(__xludf.DUMMYFUNCTION("IF(OR(J57="""",J60=""""),"""",IF(REGEXMATCH(J60,""W""),IF(J57&lt;0,((-100/J57))*10+J52,((J57/100)*10+J52)),-10+J52))"),32.892307692307696)</f>
        <v>32.89230769</v>
      </c>
      <c r="K65" s="26">
        <f>IFERROR(__xludf.DUMMYFUNCTION("IF(OR(K57="""",K60=""""),"""",IF(REGEXMATCH(K60,""W""),IF(K57&lt;0,((-100/K57))*10+K52,((K57/100)*10+K52)),-10+K52))"),-9.725984251968503)</f>
        <v>-9.725984252</v>
      </c>
      <c r="L65" s="26">
        <f>IFERROR(__xludf.DUMMYFUNCTION("IF(OR(L57="""",L60=""""),"""",IF(REGEXMATCH(L60,""W""),IF(L57&lt;0,((-100/L57))*10+L52,((L57/100)*10+L52)),-10+L52))"),0.15338279779871478)</f>
        <v>0.1533827978</v>
      </c>
      <c r="M65" s="14"/>
      <c r="N65" s="16" t="s">
        <v>89</v>
      </c>
      <c r="O65" s="10">
        <f>IFERROR(__xludf.DUMMYFUNCTION("IF(AND(C65="""",AND(D65="""",AND(E65="""",AND(F65="""",AND(G65="""",AND(H65="""",AND(I65="""",AND(J65="""",AND(K65="""",L65=""""))))))))),"""",(IF(C60="""",0,IF(REGEXMATCH(C60,""W""),IF(C57&lt;0,((-100/C57))*10,((C57/100)*10)),-10))+IF(D60="""",0,IF(REGEXMAT"&amp;"CH(D60,""W""),IF(D57&lt;0,((-100/D57))*10,((D57/100)*10)),-10))+IF(E60="""",0,IF(REGEXMATCH(E60,""W""),IF(E57&lt;0,((-100/E57))*10,((E57/100)*10)),-10))+IF(F60="""",0,IF(REGEXMATCH(F60,""W""),IF(F57&lt;0,((-100/F57))*10,((F57/100)*10)),-10))+IF(G60="""",0,IF(REGEX"&amp;"MATCH(G60,""W""),IF(G57&lt;0,((-100/G57))*10,((G57/100)*10)),-10))+IF(H60="""",0,IF(REGEXMATCH(H60,""W""),IF(H57&lt;0,((-100/H57))*10,((H57/100)*10)),-10))+IF(I60="""",0,IF(REGEXMATCH(I60,""W""),IF(I57&lt;0,((-100/I57))*10,((I57/100)*10)),-10))+IF(J60="""",0,IF(RE"&amp;"GEXMATCH(J60,""W""),IF(J57&lt;0,((-100/J57))*10,((J57/100)*10)),-10))+IF(K60="""",0,IF(REGEXMATCH(K60,""W""),IF(K57&lt;0,((-100/K57))*10,((K57/100)*10)),-10))+IF(L60="""",0,IF(REGEXMATCH(L60,""W""),IF(L57&lt;0,((-100/L57))*10,((L57/100)*10)),-10))))"),-23.89134098126904)</f>
        <v>-23.89134098</v>
      </c>
      <c r="P65" s="10">
        <f>IFERROR(__xludf.DUMMYFUNCTION("IF(AND(C65="""",AND(D65="""",AND(E65="""",AND(F65="""",AND(G65="""",AND(H65="""",AND(I65="""",AND(J65="""",AND(K65="""",L65=""""))))))))),"""",(P52+IF(C60="""",0,IF(REGEXMATCH(C60,""W""),IF(C57&lt;0,((-100/C57))*10,((C57/100)*10)),-10))+IF(D60="""",0,IF(REGE"&amp;"XMATCH(D60,""W""),IF(D57&lt;0,((-100/D57))*10,((D57/100)*10)),-10))+IF(E60="""",0,IF(REGEXMATCH(E60,""W""),IF(E57&lt;0,((-100/E57))*10,((E57/100)*10)),-10))+IF(F60="""",0,IF(REGEXMATCH(F60,""W""),IF(F57&lt;0,((-100/F57))*10,((F57/100)*10)),-10))+IF(G60="""",0,IF(R"&amp;"EGEXMATCH(G60,""W""),IF(G57&lt;0,((-100/G57))*10,((G57/100)*10)),-10))+IF(H60="""",0,IF(REGEXMATCH(H60,""W""),IF(H57&lt;0,((-100/H57))*10,((H57/100)*10)),-10))+IF(I60="""",0,IF(REGEXMATCH(I60,""W""),IF(I57&lt;0,((-100/I57))*10,((I57/100)*10)),-10))+IF(J60="""",0,I"&amp;"F(REGEXMATCH(J60,""W""),IF(J57&lt;0,((-100/J57))*10,((J57/100)*10)),-10))+IF(K60="""",0,IF(REGEXMATCH(K60,""W""),IF(K57&lt;0,((-100/K57))*10,((K57/100)*10)),-10))+IF(L60="""",0,IF(REGEXMATCH(L60,""W""),IF(L57&lt;0,((-100/L57))*10,((L57/100)*10)),-10))))"),92.59004021137555)</f>
        <v>92.59004021</v>
      </c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 ht="16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 ht="16.5" customHeight="1">
      <c r="A67" s="3" t="s">
        <v>329</v>
      </c>
      <c r="B67" s="2"/>
      <c r="C67" s="3" t="s">
        <v>1</v>
      </c>
      <c r="D67" s="3" t="s">
        <v>2</v>
      </c>
      <c r="E67" s="3" t="s">
        <v>3</v>
      </c>
      <c r="F67" s="3" t="s">
        <v>4</v>
      </c>
      <c r="G67" s="3" t="s">
        <v>5</v>
      </c>
      <c r="H67" s="3" t="s">
        <v>6</v>
      </c>
      <c r="I67" s="3" t="s">
        <v>7</v>
      </c>
      <c r="J67" s="3" t="s">
        <v>8</v>
      </c>
      <c r="K67" s="3" t="s">
        <v>9</v>
      </c>
      <c r="L67" s="3" t="s">
        <v>10</v>
      </c>
      <c r="M67" s="2"/>
      <c r="N67" s="4"/>
      <c r="O67" s="3" t="s">
        <v>11</v>
      </c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 ht="16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 ht="16.5" customHeight="1">
      <c r="A69" s="3" t="s">
        <v>12</v>
      </c>
      <c r="B69" s="2"/>
      <c r="C69" s="5" t="s">
        <v>330</v>
      </c>
      <c r="D69" s="5" t="s">
        <v>331</v>
      </c>
      <c r="E69" s="19" t="s">
        <v>332</v>
      </c>
      <c r="F69" s="5" t="s">
        <v>333</v>
      </c>
      <c r="G69" s="5" t="s">
        <v>334</v>
      </c>
      <c r="H69" s="5" t="s">
        <v>276</v>
      </c>
      <c r="I69" s="5" t="s">
        <v>335</v>
      </c>
      <c r="J69" s="5" t="s">
        <v>336</v>
      </c>
      <c r="K69" s="5" t="s">
        <v>337</v>
      </c>
      <c r="L69" s="5" t="s">
        <v>338</v>
      </c>
      <c r="M69" s="2"/>
      <c r="N69" s="3" t="s">
        <v>13</v>
      </c>
      <c r="O69" s="7">
        <f>IF(AND(C70="",AND(D70="",AND(E70="",AND(F70="",AND(G70="",AND(H70="",AND(I70="",AND(J70="",AND(K70="",L70=""))))))))),"",IF(((IF(C70="",1,IF(C70&gt;0,(C70/100)+1,(100/((-1)*C70))+1)))*(IF(D70="",1,IF(D70&gt;0,(D70/100)+1,(100/((-1)*D70))+1)))*(IF(E70="",1,IF(E70&gt;0,(E70/100)+1,(100/((-1)*E70))+1)))*(IF(F70="",1,IF(F70&gt;0,(F70/100)+1,(100/((-1)*F70))+1)))*(IF(G70="",1,IF(G70&gt;0,(G70/100)+1,(100/((-1)*G70))+1)))*(IF(H70="",1,IF(H70&gt;0,(H70/100)+1,(100/((-1)*H70))+1)))*(IF(I70="",1,IF(I70&gt;0,(I70/100)+1,(100/((-1)*I70))+1)))*(IF(J70="",1,IF(J70&gt;0,(J70/100)+1,(100/((-1)*J70))+1)))*(IF(K70="",1,IF(K70&gt;0,(K70/100)+1,(100/((-1)*K70))+1)))*(IF(L70="",1,IF(L70&gt;0,(L70/100)+1,(100/((-1)*L70))+1))))&lt;2,((-100)/(((IF(C70="",1,IF(C70&gt;0,(C70/100)+1,(100/((-1)*C70))+1)))*(IF(D70="",1,IF(D70&gt;0,(D70/100)+1,(100/((-1)*D70))+1)))*(IF(E70="",1,IF(E70&gt;0,(E70/100)+1,(100/((-1)*E70))+1)))*(IF(F70="",1,IF(F70&gt;0,(F70/100)+1,(100/((-1)*F70))+1)))*(IF(G70="",1,IF(G70&gt;0,(G70/100)+1,(100/((-1)*G70))+1)))*(IF(H70="",1,IF(H70&gt;0,(H70/100)+1,(100/((-1)*H70))+1)))*(IF(I70="",1,IF(I70&gt;0,(I70/100)+1,(100/((-1)*I70))+1)))*(IF(J70="",1,IF(J70&gt;0,(J70/100)+1,(100/((-1)*J70))+1)))*(IF(K70="",1,IF(K70&gt;0,(K70/100)+1,(100/((-1)*K70))+1)))*(IF(L70="",1,IF(L70&gt;0,(L70/100)+1,(100/((-1)*L70))+1))))-1)),((((IF(C70="",1,IF(C70&gt;0,(C70/100)+1,(100/((-1)*C70))+1)))*(IF(D70="",1,IF(D70&gt;0,(D70/100)+1,(100/((-1)*D70))+1)))*(IF(E70="",1,IF(E70&gt;0,(E70/100)+1,(100/((-1)*E70))+1)))*(IF(F70="",1,IF(F70&gt;0,(F70/100)+1,(100/((-1)*F70))+1)))*(IF(G70="",1,IF(G70&gt;0,(G70/100)+1,(100/((-1)*G70))+1)))*(IF(H70="",1,IF(H70&gt;0,(H70/100)+1,(100/((-1)*H70))+1)))*(IF(I70="",1,IF(I70&gt;0,(I70/100)+1,(100/((-1)*I70))+1)))*(IF(J70="",1,IF(J70&gt;0,(J70/100)+1,(100/((-1)*J70))+1)))*(IF(K70="",1,IF(K70&gt;0,(K70/100)+1,(100/((-1)*K70))+1)))*(IF(L70="",1,IF(L70&gt;0,(L70/100)+1,(100/((-1)*L70))+1))))-1)*(100))))</f>
        <v>122506.0339</v>
      </c>
      <c r="P69" s="4"/>
      <c r="Q69" s="8" t="s">
        <v>35</v>
      </c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 ht="16.5" customHeight="1">
      <c r="A70" s="3" t="s">
        <v>13</v>
      </c>
      <c r="B70" s="2"/>
      <c r="C70" s="5">
        <v>128.0</v>
      </c>
      <c r="D70" s="5">
        <v>100.0</v>
      </c>
      <c r="E70" s="5">
        <v>132.0</v>
      </c>
      <c r="F70" s="5">
        <v>-111.0</v>
      </c>
      <c r="G70" s="5">
        <v>170.0</v>
      </c>
      <c r="H70" s="5">
        <v>-112.0</v>
      </c>
      <c r="I70" s="5">
        <v>-169.0</v>
      </c>
      <c r="J70" s="5">
        <v>-111.0</v>
      </c>
      <c r="K70" s="5">
        <v>-104.0</v>
      </c>
      <c r="L70" s="5">
        <v>101.0</v>
      </c>
      <c r="M70" s="2">
        <v>5.0</v>
      </c>
      <c r="N70" s="3" t="s">
        <v>36</v>
      </c>
      <c r="O70" s="10">
        <f>IF(AND(C70="",AND(D70="",AND(E70="",AND(F70="",AND(G70="",AND(H70="",AND(I70="",AND(J70="",AND(K70="",L70=""))))))))),"",10+IF((IF(((IF(C70="",1,IF(C70&gt;0,(C70/100)+1,(100/((-1)*C70))+1)))*(IF(D70="",1,IF(D70&gt;0,(D70/100)+1,(100/((-1)*D70))+1)))*(IF(E70="",1,IF(E70&gt;0,(E70/100)+1,(100/((-1)*E70))+1)))*(IF(F70="",1,IF(F70&gt;0,(F70/100)+1,(100/((-1)*F70))+1)))*(IF(G70="",1,IF(G70&gt;0,(G70/100)+1,(100/((-1)*G70))+1)))*(IF(H70="",1,IF(H70&gt;0,(H70/100)+1,(100/((-1)*H70))+1)))*(IF(I70="",1,IF(I70&gt;0,(I70/100)+1,(100/((-1)*I70))+1)))*(IF(J70="",1,IF(J70&gt;0,(J70/100)+1,(100/((-1)*J70))+1)))*(IF(K70="",1,IF(K70&gt;0,(K70/100)+1,(100/((-1)*K70))+1)))*(IF(L70="",1,IF(L70&gt;0,(L70/100)+1,(100/((-1)*L70))+1))))&lt;2,((-100)/(((IF(C70="",1,IF(C70&gt;0,(C70/100)+1,(100/((-1)*C70))+1)))*(IF(D70="",1,IF(D70&gt;0,(D70/100)+1,(100/((-1)*D70))+1)))*(IF(E70="",1,IF(E70&gt;0,(E70/100)+1,(100/((-1)*E70))+1)))*(IF(F70="",1,IF(F70&gt;0,(F70/100)+1,(100/((-1)*F70))+1)))*(IF(G70="",1,IF(G70&gt;0,(G70/100)+1,(100/((-1)*G70))+1)))*(IF(H70="",1,IF(H70&gt;0,(H70/100)+1,(100/((-1)*H70))+1)))*(IF(I70="",1,IF(I70&gt;0,(I70/100)+1,(100/((-1)*I70))+1)))*(IF(J70="",1,IF(J70&gt;0,(J70/100)+1,(100/((-1)*J70))+1)))*(IF(K70="",1,IF(K70&gt;0,(K70/100)+1,(100/((-1)*K70))+1)))*(IF(L70="",1,IF(L70&gt;0,(L70/100)+1,(100/((-1)*L70))+1))))-1)),((((IF(C70="",1,IF(C70&gt;0,(C70/100)+1,(100/((-1)*C70))+1)))*(IF(D70="",1,IF(D70&gt;0,(D70/100)+1,(100/((-1)*D70))+1)))*(IF(E70="",1,IF(E70&gt;0,(E70/100)+1,(100/((-1)*E70))+1)))*(IF(F70="",1,IF(F70&gt;0,(F70/100)+1,(100/((-1)*F70))+1)))*(IF(G70="",1,IF(G70&gt;0,(G70/100)+1,(100/((-1)*G70))+1)))*(IF(H70="",1,IF(H70&gt;0,(H70/100)+1,(100/((-1)*H70))+1)))*(IF(I70="",1,IF(I70&gt;0,(I70/100)+1,(100/((-1)*I70))+1)))*(IF(J70="",1,IF(J70&gt;0,(J70/100)+1,(100/((-1)*J70))+1)))*(IF(K70="",1,IF(K70&gt;0,(K70/100)+1,(100/((-1)*K70))+1)))*(IF(L70="",1,IF(L70&gt;0,(L70/100)+1,(100/((-1)*L70))+1))))-1)*(100))))&lt;0,(((-100)/((IF(((IF(C70="",1,IF(C70&gt;0,(C70/100)+1,(100/((-1)*C70))+1)))*(IF(D70="",1,IF(D70&gt;0,(D70/100)+1,(100/((-1)*D70))+1)))*(IF(E70="",1,IF(E70&gt;0,(E70/100)+1,(100/((-1)*E70))+1)))*(IF(F70="",1,IF(F70&gt;0,(F70/100)+1,(100/((-1)*F70))+1)))*(IF(G70="",1,IF(G70&gt;0,(G70/100)+1,(100/((-1)*G70))+1)))*(IF(H70="",1,IF(H70&gt;0,(H70/100)+1,(100/((-1)*H70))+1)))*(IF(I70="",1,IF(I70&gt;0,(I70/100)+1,(100/((-1)*I70))+1)))*(IF(J70="",1,IF(J70&gt;0,(J70/100)+1,(100/((-1)*J70))+1)))*(IF(K70="",1,IF(K70&gt;0,(K70/100)+1,(100/((-1)*K70))+1)))*(IF(L70="",1,IF(L70&gt;0,(L70/100)+1,(100/((-1)*L70))+1))))&lt;2,((-100)/(((IF(C70="",1,IF(C70&gt;0,(C70/100)+1,(100/((-1)*C70))+1)))*(IF(D70="",1,IF(D70&gt;0,(D70/100)+1,(100/((-1)*D70))+1)))*(IF(E70="",1,IF(E70&gt;0,(E70/100)+1,(100/((-1)*E70))+1)))*(IF(F70="",1,IF(F70&gt;0,(F70/100)+1,(100/((-1)*F70))+1)))*(IF(G70="",1,IF(G70&gt;0,(G70/100)+1,(100/((-1)*G70))+1)))*(IF(H70="",1,IF(H70&gt;0,(H70/100)+1,(100/((-1)*H70))+1)))*(IF(I70="",1,IF(I70&gt;0,(I70/100)+1,(100/((-1)*I70))+1)))*(IF(J70="",1,IF(J70&gt;0,(J70/100)+1,(100/((-1)*J70))+1)))*(IF(K70="",1,IF(K70&gt;0,(K70/100)+1,(100/((-1)*K70))+1)))*(IF(L70="",1,IF(L70&gt;0,(L70/100)+1,(100/((-1)*L70))+1))))-1)),((((IF(C70="",1,IF(C70&gt;0,(C70/100)+1,(100/((-1)*C70))+1)))*(IF(D70="",1,IF(D70&gt;0,(D70/100)+1,(100/((-1)*D70))+1)))*(IF(E70="",1,IF(E70&gt;0,(E70/100)+1,(100/((-1)*E70))+1)))*(IF(F70="",1,IF(F70&gt;0,(F70/100)+1,(100/((-1)*F70))+1)))*(IF(G70="",1,IF(G70&gt;0,(G70/100)+1,(100/((-1)*G70))+1)))*(IF(H70="",1,IF(H70&gt;0,(H70/100)+1,(100/((-1)*H70))+1)))*(IF(I70="",1,IF(I70&gt;0,(I70/100)+1,(100/((-1)*I70))+1)))*(IF(J70="",1,IF(J70&gt;0,(J70/100)+1,(100/((-1)*J70))+1)))*(IF(K70="",1,IF(K70&gt;0,(K70/100)+1,(100/((-1)*K70))+1)))*(IF(L70="",1,IF(L70&gt;0,(L70/100)+1,(100/((-1)*L70))+1))))-1)*(100))))))*10),(((IF(((IF(C70="",1,IF(C70&gt;0,(C70/100)+1,(100/((-1)*C70))+1)))*(IF(D70="",1,IF(D70&gt;0,(D70/100)+1,(100/((-1)*D70))+1)))*(IF(E70="",1,IF(E70&gt;0,(E70/100)+1,(100/((-1)*E70))+1)))*(IF(F70="",1,IF(F70&gt;0,(F70/100)+1,(100/((-1)*F70))+1)))*(IF(G70="",1,IF(G70&gt;0,(G70/100)+1,(100/((-1)*G70))+1)))*(IF(H70="",1,IF(H70&gt;0,(H70/100)+1,(100/((-1)*H70))+1)))*(IF(I70="",1,IF(I70&gt;0,(I70/100)+1,(100/((-1)*I70))+1)))*(IF(J70="",1,IF(J70&gt;0,(J70/100)+1,(100/((-1)*J70))+1)))*(IF(K70="",1,IF(K70&gt;0,(K70/100)+1,(100/((-1)*K70))+1)))*(IF(L70="",1,IF(L70&gt;0,(L70/100)+1,(100/((-1)*L70))+1))))&lt;2,((-100)/(((IF(C70="",1,IF(C70&gt;0,(C70/100)+1,(100/((-1)*C70))+1)))*(IF(D70="",1,IF(D70&gt;0,(D70/100)+1,(100/((-1)*D70))+1)))*(IF(E70="",1,IF(E70&gt;0,(E70/100)+1,(100/((-1)*E70))+1)))*(IF(F70="",1,IF(F70&gt;0,(F70/100)+1,(100/((-1)*F70))+1)))*(IF(G70="",1,IF(G70&gt;0,(G70/100)+1,(100/((-1)*G70))+1)))*(IF(H70="",1,IF(H70&gt;0,(H70/100)+1,(100/((-1)*H70))+1)))*(IF(I70="",1,IF(I70&gt;0,(I70/100)+1,(100/((-1)*I70))+1)))*(IF(J70="",1,IF(J70&gt;0,(J70/100)+1,(100/((-1)*J70))+1)))*(IF(K70="",1,IF(K70&gt;0,(K70/100)+1,(100/((-1)*K70))+1)))*(IF(L70="",1,IF(L70&gt;0,(L70/100)+1,(100/((-1)*L70))+1))))-1)),((((IF(C70="",1,IF(C70&gt;0,(C70/100)+1,(100/((-1)*C70))+1)))*(IF(D70="",1,IF(D70&gt;0,(D70/100)+1,(100/((-1)*D70))+1)))*(IF(E70="",1,IF(E70&gt;0,(E70/100)+1,(100/((-1)*E70))+1)))*(IF(F70="",1,IF(F70&gt;0,(F70/100)+1,(100/((-1)*F70))+1)))*(IF(G70="",1,IF(G70&gt;0,(G70/100)+1,(100/((-1)*G70))+1)))*(IF(H70="",1,IF(H70&gt;0,(H70/100)+1,(100/((-1)*H70))+1)))*(IF(I70="",1,IF(I70&gt;0,(I70/100)+1,(100/((-1)*I70))+1)))*(IF(J70="",1,IF(J70&gt;0,(J70/100)+1,(100/((-1)*J70))+1)))*(IF(K70="",1,IF(K70&gt;0,(K70/100)+1,(100/((-1)*K70))+1)))*(IF(L70="",1,IF(L70&gt;0,(L70/100)+1,(100/((-1)*L70))+1))))-1)*(100))))/100)*10)))</f>
        <v>12260.60339</v>
      </c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 ht="16.5" customHeight="1">
      <c r="A71" s="3" t="s">
        <v>37</v>
      </c>
      <c r="B71" s="2"/>
      <c r="C71" s="5" t="s">
        <v>365</v>
      </c>
      <c r="D71" s="5" t="s">
        <v>366</v>
      </c>
      <c r="E71" s="5" t="s">
        <v>367</v>
      </c>
      <c r="F71" s="5" t="s">
        <v>368</v>
      </c>
      <c r="G71" s="5" t="s">
        <v>369</v>
      </c>
      <c r="H71" s="5" t="s">
        <v>370</v>
      </c>
      <c r="I71" s="5" t="s">
        <v>371</v>
      </c>
      <c r="J71" s="5" t="s">
        <v>372</v>
      </c>
      <c r="K71" s="5" t="s">
        <v>373</v>
      </c>
      <c r="L71" s="5" t="s">
        <v>374</v>
      </c>
      <c r="M71" s="2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 ht="16.5" customHeight="1">
      <c r="A72" s="3" t="s">
        <v>48</v>
      </c>
      <c r="B72" s="2"/>
      <c r="C72" s="5" t="s">
        <v>328</v>
      </c>
      <c r="D72" s="5" t="s">
        <v>375</v>
      </c>
      <c r="E72" s="5" t="s">
        <v>376</v>
      </c>
      <c r="F72" s="5" t="s">
        <v>377</v>
      </c>
      <c r="G72" s="5" t="s">
        <v>378</v>
      </c>
      <c r="H72" s="5" t="s">
        <v>379</v>
      </c>
      <c r="I72" s="5" t="s">
        <v>380</v>
      </c>
      <c r="J72" s="5" t="s">
        <v>75</v>
      </c>
      <c r="K72" s="5" t="s">
        <v>381</v>
      </c>
      <c r="L72" s="5" t="s">
        <v>382</v>
      </c>
      <c r="M72" s="2"/>
      <c r="N72" s="4"/>
      <c r="O72" s="3" t="s">
        <v>56</v>
      </c>
      <c r="P72" s="3" t="s">
        <v>57</v>
      </c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 ht="16.5" customHeight="1">
      <c r="A73" s="3" t="s">
        <v>59</v>
      </c>
      <c r="B73" s="2"/>
      <c r="C73" s="5" t="s">
        <v>62</v>
      </c>
      <c r="D73" s="5" t="s">
        <v>62</v>
      </c>
      <c r="E73" s="5" t="s">
        <v>60</v>
      </c>
      <c r="F73" s="5" t="s">
        <v>60</v>
      </c>
      <c r="G73" s="5" t="s">
        <v>62</v>
      </c>
      <c r="H73" s="5" t="s">
        <v>60</v>
      </c>
      <c r="I73" s="5" t="s">
        <v>60</v>
      </c>
      <c r="J73" s="5" t="s">
        <v>62</v>
      </c>
      <c r="K73" s="5" t="s">
        <v>62</v>
      </c>
      <c r="L73" s="5" t="s">
        <v>60</v>
      </c>
      <c r="M73" s="2"/>
      <c r="N73" s="3" t="s">
        <v>65</v>
      </c>
      <c r="O73" s="12" t="str">
        <f>IFERROR(__xludf.DUMMYFUNCTION("IF(OR(COUNTA(C70:L70) = 0, COUNTA(C73:L73) = 0), """", IFERROR(TEXTJOIN("", "", TRUE, FILTER(C67:L67, (C73:L73 = ""W"") * (C70:L70 = MAX(FILTER(C70:L70, C73:L73 = ""W""))))), """"))"),"Clayton")</f>
        <v>Clayton</v>
      </c>
      <c r="P73" s="12" t="str">
        <f>IFERROR(__xludf.DUMMYFUNCTION("IF(COUNTA(C78:L78) = 0, """", IFERROR(TEXTJOIN("", "", TRUE, FILTER(C67:L67, C78:L78 = MAX(C78:L78))), """"))"),"Clayton")</f>
        <v>Clayton</v>
      </c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 ht="16.5" customHeight="1">
      <c r="A74" s="1" t="s">
        <v>81</v>
      </c>
      <c r="B74" s="2"/>
      <c r="C74" s="4">
        <f t="shared" ref="C74:L74" si="21">IF(OR(C70="",C73=""),"",C61+COUNTIF(C73,"W"))</f>
        <v>4</v>
      </c>
      <c r="D74" s="4">
        <f t="shared" si="21"/>
        <v>4</v>
      </c>
      <c r="E74" s="4">
        <f t="shared" si="21"/>
        <v>5</v>
      </c>
      <c r="F74" s="4">
        <f t="shared" si="21"/>
        <v>5</v>
      </c>
      <c r="G74" s="4">
        <f t="shared" si="21"/>
        <v>2</v>
      </c>
      <c r="H74" s="4">
        <f t="shared" si="21"/>
        <v>5</v>
      </c>
      <c r="I74" s="4">
        <f t="shared" si="21"/>
        <v>3</v>
      </c>
      <c r="J74" s="4">
        <f t="shared" si="21"/>
        <v>4</v>
      </c>
      <c r="K74" s="4">
        <f t="shared" si="21"/>
        <v>2</v>
      </c>
      <c r="L74" s="4">
        <f t="shared" si="21"/>
        <v>4</v>
      </c>
      <c r="M74" s="2"/>
      <c r="N74" s="3" t="s">
        <v>82</v>
      </c>
      <c r="O74" s="4" t="str">
        <f>IFERROR(__xludf.DUMMYFUNCTION("IF(OR(COUNTA(C70:L70) = 0, COUNTA(C73:L73) = 0), """", IFERROR(TEXTJOIN("", "", TRUE, FILTER(C67:L67, (C73:L73 = ""L"") * (C70:L70 = MIN(FILTER(C70:L70, C73:L73 = ""L""))))), """"))"),"Tanner")</f>
        <v>Tanner</v>
      </c>
      <c r="P74" s="12" t="str">
        <f>IFERROR(__xludf.DUMMYFUNCTION("IF(COUNTA(C78:L78) = 0, """", IFERROR(TEXTJOIN("", "", TRUE, FILTER(C67:L67, C78:L78 = MIN(C78:L78))), """"))"),"Hunter")</f>
        <v>Hunter</v>
      </c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 ht="16.5" customHeight="1">
      <c r="A75" s="1" t="s">
        <v>83</v>
      </c>
      <c r="B75" s="2"/>
      <c r="C75" s="27">
        <f t="shared" ref="C75:L75" si="22">IF(OR(C70="",C73=""),"",C62+COUNTIF(C73,"L"))</f>
        <v>2</v>
      </c>
      <c r="D75" s="27">
        <f t="shared" si="22"/>
        <v>2</v>
      </c>
      <c r="E75" s="27">
        <f t="shared" si="22"/>
        <v>1</v>
      </c>
      <c r="F75" s="27">
        <f t="shared" si="22"/>
        <v>1</v>
      </c>
      <c r="G75" s="27">
        <f t="shared" si="22"/>
        <v>4</v>
      </c>
      <c r="H75" s="27">
        <f t="shared" si="22"/>
        <v>1</v>
      </c>
      <c r="I75" s="27">
        <f t="shared" si="22"/>
        <v>3</v>
      </c>
      <c r="J75" s="27">
        <f t="shared" si="22"/>
        <v>2</v>
      </c>
      <c r="K75" s="27">
        <f t="shared" si="22"/>
        <v>4</v>
      </c>
      <c r="L75" s="27">
        <f t="shared" si="22"/>
        <v>2</v>
      </c>
      <c r="M75" s="2"/>
      <c r="N75" s="3" t="s">
        <v>84</v>
      </c>
      <c r="O75" s="12" t="str">
        <f>IFERROR(__xludf.DUMMYFUNCTION("IF(COUNTA(C70:L70) = 0, """", IFERROR(TEXTJOIN("", "", TRUE, FILTER(C67:L67, C70:L70 = MAX(C70:L70))), """"))"),"Hunter")</f>
        <v>Hunter</v>
      </c>
      <c r="P75" s="4" t="str">
        <f>IFERROR(__xludf.DUMMYFUNCTION("IF(COUNTA(C70:L70) = 0, """", IFERROR(TEXTJOIN("", "", TRUE, FILTER(C67:L67, C77:L77 = MAX(C77:L77))), """"))"),"Hunter")</f>
        <v>Hunter</v>
      </c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 ht="16.5" customHeight="1">
      <c r="A76" s="3" t="s">
        <v>85</v>
      </c>
      <c r="B76" s="2"/>
      <c r="C76" s="24">
        <f t="shared" ref="C76:L76" si="23">IF(OR(C70="",C73=""),"",(C74/(C74+C75)))</f>
        <v>0.6666666667</v>
      </c>
      <c r="D76" s="24">
        <f t="shared" si="23"/>
        <v>0.6666666667</v>
      </c>
      <c r="E76" s="24">
        <f t="shared" si="23"/>
        <v>0.8333333333</v>
      </c>
      <c r="F76" s="24">
        <f t="shared" si="23"/>
        <v>0.8333333333</v>
      </c>
      <c r="G76" s="24">
        <f t="shared" si="23"/>
        <v>0.3333333333</v>
      </c>
      <c r="H76" s="24">
        <f t="shared" si="23"/>
        <v>0.8333333333</v>
      </c>
      <c r="I76" s="24">
        <f t="shared" si="23"/>
        <v>0.5</v>
      </c>
      <c r="J76" s="24">
        <f t="shared" si="23"/>
        <v>0.6666666667</v>
      </c>
      <c r="K76" s="24">
        <f t="shared" si="23"/>
        <v>0.3333333333</v>
      </c>
      <c r="L76" s="24">
        <f t="shared" si="23"/>
        <v>0.6666666667</v>
      </c>
      <c r="M76" s="14"/>
      <c r="N76" s="3" t="s">
        <v>86</v>
      </c>
      <c r="O76" s="4" t="str">
        <f>IFERROR(__xludf.DUMMYFUNCTION("IF(COUNTA(C70:L70) = 0, """", IFERROR(TEXTJOIN("", "", TRUE, FILTER(C67:L67, C70:L70 = MIN(C70:L70))), """"))"),"Nick")</f>
        <v>Nick</v>
      </c>
      <c r="P76" s="4" t="str">
        <f>IFERROR(__xludf.DUMMYFUNCTION("IF(COUNTA(C70:L70) = 0, """", IFERROR(TEXTJOIN("", "", TRUE, FILTER(C67:L67, C77:L77 = MIN(C77:L77))), """"))"),"Carson")</f>
        <v>Carson</v>
      </c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 ht="16.5" customHeight="1">
      <c r="A77" s="3" t="s">
        <v>87</v>
      </c>
      <c r="B77" s="2"/>
      <c r="C77" s="25">
        <f t="shared" ref="C77:L77" si="24">IF(C70="","",IF(((IF(C70 &lt;0,((-100/C70)+1),((C70/100)+1))+(IF(C64&lt;0,((-100/C64)+1),((C64/100)+1)))*(C61+C62))/(C61+C62+1))&lt;2,(-100/(((IF(C70 &lt;0,((-100/C70)+1),((C70/100)+1))+(IF(C64&lt;0,((-100/C64)+1),((C64/100)+1)))*(C61+C62))/(C61+C62+1))-1)),(((IF(C70 &lt;0,((-100/C70)+1),((C70/100)+1))+(IF(C64&lt;0,((-100/C64)+1),((C64/100)+1)))*(C61+C62))/(C61+C62+1))-1)*100))</f>
        <v>-116.1979809</v>
      </c>
      <c r="D77" s="25">
        <f t="shared" si="24"/>
        <v>-143.125384</v>
      </c>
      <c r="E77" s="25">
        <f t="shared" si="24"/>
        <v>-101.0562169</v>
      </c>
      <c r="F77" s="25">
        <f t="shared" si="24"/>
        <v>-132.723929</v>
      </c>
      <c r="G77" s="25">
        <f t="shared" si="24"/>
        <v>104.6837053</v>
      </c>
      <c r="H77" s="25">
        <f t="shared" si="24"/>
        <v>-112.516372</v>
      </c>
      <c r="I77" s="25">
        <f t="shared" si="24"/>
        <v>-124.9348658</v>
      </c>
      <c r="J77" s="25">
        <f t="shared" si="24"/>
        <v>-104.5372254</v>
      </c>
      <c r="K77" s="25">
        <f t="shared" si="24"/>
        <v>-111.110786</v>
      </c>
      <c r="L77" s="25">
        <f t="shared" si="24"/>
        <v>-127.8644831</v>
      </c>
      <c r="M77" s="14"/>
      <c r="N77" s="4"/>
      <c r="O77" s="12"/>
      <c r="P77" s="12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>
      <c r="A78" s="16" t="s">
        <v>88</v>
      </c>
      <c r="B78" s="2"/>
      <c r="C78" s="26">
        <f>IFERROR(__xludf.DUMMYFUNCTION("IF(OR(C70="""",C73=""""),"""",IF(REGEXMATCH(C73,""W""),IF(C70&lt;0,((-100/C70))*10+C65,((C70/100)*10+C65)),-10+C65))"),10.140356939173003)</f>
        <v>10.14035694</v>
      </c>
      <c r="D78" s="26">
        <f>IFERROR(__xludf.DUMMYFUNCTION("IF(OR(D70="""",D73=""""),"""",IF(REGEXMATCH(D73,""W""),IF(D70&lt;0,((-100/D70))*10+D65,((D70/100)*10+D65)),-10+D65))"),4.513877484465716)</f>
        <v>4.513877484</v>
      </c>
      <c r="E78" s="26">
        <f>IFERROR(__xludf.DUMMYFUNCTION("IF(OR(E70="""",E73=""""),"""",IF(REGEXMATCH(E73,""W""),IF(E70&lt;0,((-100/E70))*10+E65,((E70/100)*10+E65)),-10+E65))"),39.372893456296076)</f>
        <v>39.37289346</v>
      </c>
      <c r="F78" s="26">
        <f>IFERROR(__xludf.DUMMYFUNCTION("IF(OR(F70="""",F73=""""),"""",IF(REGEXMATCH(F73,""W""),IF(F70&lt;0,((-100/F70))*10+F65,((F70/100)*10+F65)),-10+F65))"),25.006618312465392)</f>
        <v>25.00661831</v>
      </c>
      <c r="G78" s="26">
        <f>IFERROR(__xludf.DUMMYFUNCTION("IF(OR(G70="""",G73=""""),"""",IF(REGEXMATCH(G73,""W""),IF(G70&lt;0,((-100/G70))*10+G65,((G70/100)*10+G65)),-10+G65))"),-25.61735474006116)</f>
        <v>-25.61735474</v>
      </c>
      <c r="H78" s="26">
        <f>IFERROR(__xludf.DUMMYFUNCTION("IF(OR(H70="""",H73=""""),"""",IF(REGEXMATCH(H73,""W""),IF(H70&lt;0,((-100/H70))*10+H65,((H70/100)*10+H65)),-10+H65))"),33.801763401309024)</f>
        <v>33.8017634</v>
      </c>
      <c r="I78" s="26">
        <f>IFERROR(__xludf.DUMMYFUNCTION("IF(OR(I70="""",I73=""""),"""",IF(REGEXMATCH(I73,""W""),IF(I70&lt;0,((-100/I70))*10+I65,((I70/100)*10+I65)),-10+I65))"),-10.893080679516348)</f>
        <v>-10.89308068</v>
      </c>
      <c r="J78" s="26">
        <f>IFERROR(__xludf.DUMMYFUNCTION("IF(OR(J70="""",J73=""""),"""",IF(REGEXMATCH(J73,""W""),IF(J70&lt;0,((-100/J70))*10+J65,((J70/100)*10+J65)),-10+J65))"),22.892307692307696)</f>
        <v>22.89230769</v>
      </c>
      <c r="K78" s="26">
        <f>IFERROR(__xludf.DUMMYFUNCTION("IF(OR(K70="""",K73=""""),"""",IF(REGEXMATCH(K73,""W""),IF(K70&lt;0,((-100/K70))*10+K65,((K70/100)*10+K65)),-10+K65))"),-19.725984251968505)</f>
        <v>-19.72598425</v>
      </c>
      <c r="L78" s="26">
        <f>IFERROR(__xludf.DUMMYFUNCTION("IF(OR(L70="""",L73=""""),"""",IF(REGEXMATCH(L73,""W""),IF(L70&lt;0,((-100/L70))*10+L65,((L70/100)*10+L65)),-10+L65))"),10.253382797798714)</f>
        <v>10.2533828</v>
      </c>
      <c r="M78" s="14"/>
      <c r="N78" s="16" t="s">
        <v>89</v>
      </c>
      <c r="O78" s="10">
        <f>IFERROR(__xludf.DUMMYFUNCTION("IF(AND(C78="""",AND(D78="""",AND(E78="""",AND(F78="""",AND(G78="""",AND(H78="""",AND(I78="""",AND(J78="""",AND(K78="""",L78=""""))))))))),"""",(IF(C73="""",0,IF(REGEXMATCH(C73,""W""),IF(C70&lt;0,((-100/C70))*10,((C70/100)*10)),-10))+IF(D73="""",0,IF(REGEXMAT"&amp;"CH(D73,""W""),IF(D70&lt;0,((-100/D70))*10,((D70/100)*10)),-10))+IF(E73="""",0,IF(REGEXMATCH(E73,""W""),IF(E70&lt;0,((-100/E70))*10,((E70/100)*10)),-10))+IF(F73="""",0,IF(REGEXMATCH(F73,""W""),IF(F70&lt;0,((-100/F70))*10,((F70/100)*10)),-10))+IF(G73="""",0,IF(REGEX"&amp;"MATCH(G73,""W""),IF(G70&lt;0,((-100/G70))*10,((G70/100)*10)),-10))+IF(H73="""",0,IF(REGEXMATCH(H73,""W""),IF(H70&lt;0,((-100/H70))*10,((H70/100)*10)),-10))+IF(I73="""",0,IF(REGEXMATCH(I73,""W""),IF(I70&lt;0,((-100/I70))*10,((I70/100)*10)),-10))+IF(J73="""",0,IF(RE"&amp;"GEXMATCH(J73,""W""),IF(J70&lt;0,((-100/J70))*10,((J70/100)*10)),-10))+IF(K73="""",0,IF(REGEXMATCH(K73,""W""),IF(K70&lt;0,((-100/K70))*10,((K70/100)*10)),-10))+IF(L73="""",0,IF(REGEXMATCH(L73,""W""),IF(L70&lt;0,((-100/L70))*10,((L70/100)*10)),-10))))"),-2.8452597991059516)</f>
        <v>-2.845259799</v>
      </c>
      <c r="P78" s="10">
        <f>IFERROR(__xludf.DUMMYFUNCTION("IF(AND(C78="""",AND(D78="""",AND(E78="""",AND(F78="""",AND(G78="""",AND(H78="""",AND(I78="""",AND(J78="""",AND(K78="""",L78=""""))))))))),"""",(P65+IF(C73="""",0,IF(REGEXMATCH(C73,""W""),IF(C70&lt;0,((-100/C70))*10,((C70/100)*10)),-10))+IF(D73="""",0,IF(REGE"&amp;"XMATCH(D73,""W""),IF(D70&lt;0,((-100/D70))*10,((D70/100)*10)),-10))+IF(E73="""",0,IF(REGEXMATCH(E73,""W""),IF(E70&lt;0,((-100/E70))*10,((E70/100)*10)),-10))+IF(F73="""",0,IF(REGEXMATCH(F73,""W""),IF(F70&lt;0,((-100/F70))*10,((F70/100)*10)),-10))+IF(G73="""",0,IF(R"&amp;"EGEXMATCH(G73,""W""),IF(G70&lt;0,((-100/G70))*10,((G70/100)*10)),-10))+IF(H73="""",0,IF(REGEXMATCH(H73,""W""),IF(H70&lt;0,((-100/H70))*10,((H70/100)*10)),-10))+IF(I73="""",0,IF(REGEXMATCH(I73,""W""),IF(I70&lt;0,((-100/I70))*10,((I70/100)*10)),-10))+IF(J73="""",0,I"&amp;"F(REGEXMATCH(J73,""W""),IF(J70&lt;0,((-100/J70))*10,((J70/100)*10)),-10))+IF(K73="""",0,IF(REGEXMATCH(K73,""W""),IF(K70&lt;0,((-100/K70))*10,((K70/100)*10)),-10))+IF(L73="""",0,IF(REGEXMATCH(L73,""W""),IF(L70&lt;0,((-100/L70))*10,((L70/100)*10)),-10))))"),89.74478041226959)</f>
        <v>89.74478041</v>
      </c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 ht="16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 ht="16.5" customHeight="1">
      <c r="A80" s="1" t="s">
        <v>399</v>
      </c>
      <c r="B80" s="2"/>
      <c r="C80" s="3" t="s">
        <v>1</v>
      </c>
      <c r="D80" s="3" t="s">
        <v>2</v>
      </c>
      <c r="E80" s="3" t="s">
        <v>3</v>
      </c>
      <c r="F80" s="3" t="s">
        <v>4</v>
      </c>
      <c r="G80" s="3" t="s">
        <v>5</v>
      </c>
      <c r="H80" s="3" t="s">
        <v>6</v>
      </c>
      <c r="I80" s="3" t="s">
        <v>7</v>
      </c>
      <c r="J80" s="3" t="s">
        <v>8</v>
      </c>
      <c r="K80" s="3" t="s">
        <v>9</v>
      </c>
      <c r="L80" s="3" t="s">
        <v>10</v>
      </c>
      <c r="M80" s="2"/>
      <c r="N80" s="4"/>
      <c r="O80" s="3" t="s">
        <v>11</v>
      </c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 ht="16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 ht="16.5" customHeight="1">
      <c r="A82" s="3" t="s">
        <v>12</v>
      </c>
      <c r="B82" s="2"/>
      <c r="C82" s="5" t="s">
        <v>400</v>
      </c>
      <c r="D82" s="5" t="s">
        <v>401</v>
      </c>
      <c r="E82" s="5" t="s">
        <v>402</v>
      </c>
      <c r="F82" s="5" t="s">
        <v>278</v>
      </c>
      <c r="G82" s="5" t="s">
        <v>158</v>
      </c>
      <c r="H82" s="5" t="s">
        <v>403</v>
      </c>
      <c r="I82" s="29" t="s">
        <v>404</v>
      </c>
      <c r="J82" s="5" t="s">
        <v>28</v>
      </c>
      <c r="K82" s="5" t="s">
        <v>405</v>
      </c>
      <c r="L82" s="5" t="s">
        <v>406</v>
      </c>
      <c r="M82" s="2"/>
      <c r="N82" s="3" t="s">
        <v>13</v>
      </c>
      <c r="O82" s="7">
        <f>IF(AND(C83="",AND(D83="",AND(E83="",AND(F83="",AND(G83="",AND(H83="",AND(I83="",AND(J83="",AND(K83="",L83=""))))))))),"",IF(((IF(C83="",1,IF(C83&gt;0,(C83/100)+1,(100/((-1)*C83))+1)))*(IF(D83="",1,IF(D83&gt;0,(D83/100)+1,(100/((-1)*D83))+1)))*(IF(E83="",1,IF(E83&gt;0,(E83/100)+1,(100/((-1)*E83))+1)))*(IF(F83="",1,IF(F83&gt;0,(F83/100)+1,(100/((-1)*F83))+1)))*(IF(G83="",1,IF(G83&gt;0,(G83/100)+1,(100/((-1)*G83))+1)))*(IF(H83="",1,IF(H83&gt;0,(H83/100)+1,(100/((-1)*H83))+1)))*(IF(I83="",1,IF(I83&gt;0,(I83/100)+1,(100/((-1)*I83))+1)))*(IF(J83="",1,IF(J83&gt;0,(J83/100)+1,(100/((-1)*J83))+1)))*(IF(K83="",1,IF(K83&gt;0,(K83/100)+1,(100/((-1)*K83))+1)))*(IF(L83="",1,IF(L83&gt;0,(L83/100)+1,(100/((-1)*L83))+1))))&lt;2,((-100)/(((IF(C83="",1,IF(C83&gt;0,(C83/100)+1,(100/((-1)*C83))+1)))*(IF(D83="",1,IF(D83&gt;0,(D83/100)+1,(100/((-1)*D83))+1)))*(IF(E83="",1,IF(E83&gt;0,(E83/100)+1,(100/((-1)*E83))+1)))*(IF(F83="",1,IF(F83&gt;0,(F83/100)+1,(100/((-1)*F83))+1)))*(IF(G83="",1,IF(G83&gt;0,(G83/100)+1,(100/((-1)*G83))+1)))*(IF(H83="",1,IF(H83&gt;0,(H83/100)+1,(100/((-1)*H83))+1)))*(IF(I83="",1,IF(I83&gt;0,(I83/100)+1,(100/((-1)*I83))+1)))*(IF(J83="",1,IF(J83&gt;0,(J83/100)+1,(100/((-1)*J83))+1)))*(IF(K83="",1,IF(K83&gt;0,(K83/100)+1,(100/((-1)*K83))+1)))*(IF(L83="",1,IF(L83&gt;0,(L83/100)+1,(100/((-1)*L83))+1))))-1)),((((IF(C83="",1,IF(C83&gt;0,(C83/100)+1,(100/((-1)*C83))+1)))*(IF(D83="",1,IF(D83&gt;0,(D83/100)+1,(100/((-1)*D83))+1)))*(IF(E83="",1,IF(E83&gt;0,(E83/100)+1,(100/((-1)*E83))+1)))*(IF(F83="",1,IF(F83&gt;0,(F83/100)+1,(100/((-1)*F83))+1)))*(IF(G83="",1,IF(G83&gt;0,(G83/100)+1,(100/((-1)*G83))+1)))*(IF(H83="",1,IF(H83&gt;0,(H83/100)+1,(100/((-1)*H83))+1)))*(IF(I83="",1,IF(I83&gt;0,(I83/100)+1,(100/((-1)*I83))+1)))*(IF(J83="",1,IF(J83&gt;0,(J83/100)+1,(100/((-1)*J83))+1)))*(IF(K83="",1,IF(K83&gt;0,(K83/100)+1,(100/((-1)*K83))+1)))*(IF(L83="",1,IF(L83&gt;0,(L83/100)+1,(100/((-1)*L83))+1))))-1)*(100))))</f>
        <v>47665.77227</v>
      </c>
      <c r="P82" s="4"/>
      <c r="Q82" s="8" t="s">
        <v>35</v>
      </c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 ht="16.5" customHeight="1">
      <c r="A83" s="3" t="s">
        <v>13</v>
      </c>
      <c r="B83" s="2"/>
      <c r="C83" s="5">
        <v>-213.0</v>
      </c>
      <c r="D83" s="5">
        <v>-115.0</v>
      </c>
      <c r="E83" s="5">
        <v>-135.0</v>
      </c>
      <c r="F83" s="5">
        <v>-130.0</v>
      </c>
      <c r="G83" s="5">
        <v>-125.0</v>
      </c>
      <c r="H83" s="5">
        <v>140.0</v>
      </c>
      <c r="I83" s="5">
        <v>-125.0</v>
      </c>
      <c r="J83" s="5">
        <v>120.0</v>
      </c>
      <c r="K83" s="5">
        <v>-120.0</v>
      </c>
      <c r="L83" s="5">
        <v>-125.0</v>
      </c>
      <c r="M83" s="2">
        <v>6.0</v>
      </c>
      <c r="N83" s="3" t="s">
        <v>36</v>
      </c>
      <c r="O83" s="10">
        <f>IF(AND(C83="",AND(D83="",AND(E83="",AND(F83="",AND(G83="",AND(H83="",AND(I83="",AND(J83="",AND(K83="",L83=""))))))))),"",10+IF((IF(((IF(C83="",1,IF(C83&gt;0,(C83/100)+1,(100/((-1)*C83))+1)))*(IF(D83="",1,IF(D83&gt;0,(D83/100)+1,(100/((-1)*D83))+1)))*(IF(E83="",1,IF(E83&gt;0,(E83/100)+1,(100/((-1)*E83))+1)))*(IF(F83="",1,IF(F83&gt;0,(F83/100)+1,(100/((-1)*F83))+1)))*(IF(G83="",1,IF(G83&gt;0,(G83/100)+1,(100/((-1)*G83))+1)))*(IF(H83="",1,IF(H83&gt;0,(H83/100)+1,(100/((-1)*H83))+1)))*(IF(I83="",1,IF(I83&gt;0,(I83/100)+1,(100/((-1)*I83))+1)))*(IF(J83="",1,IF(J83&gt;0,(J83/100)+1,(100/((-1)*J83))+1)))*(IF(K83="",1,IF(K83&gt;0,(K83/100)+1,(100/((-1)*K83))+1)))*(IF(L83="",1,IF(L83&gt;0,(L83/100)+1,(100/((-1)*L83))+1))))&lt;2,((-100)/(((IF(C83="",1,IF(C83&gt;0,(C83/100)+1,(100/((-1)*C83))+1)))*(IF(D83="",1,IF(D83&gt;0,(D83/100)+1,(100/((-1)*D83))+1)))*(IF(E83="",1,IF(E83&gt;0,(E83/100)+1,(100/((-1)*E83))+1)))*(IF(F83="",1,IF(F83&gt;0,(F83/100)+1,(100/((-1)*F83))+1)))*(IF(G83="",1,IF(G83&gt;0,(G83/100)+1,(100/((-1)*G83))+1)))*(IF(H83="",1,IF(H83&gt;0,(H83/100)+1,(100/((-1)*H83))+1)))*(IF(I83="",1,IF(I83&gt;0,(I83/100)+1,(100/((-1)*I83))+1)))*(IF(J83="",1,IF(J83&gt;0,(J83/100)+1,(100/((-1)*J83))+1)))*(IF(K83="",1,IF(K83&gt;0,(K83/100)+1,(100/((-1)*K83))+1)))*(IF(L83="",1,IF(L83&gt;0,(L83/100)+1,(100/((-1)*L83))+1))))-1)),((((IF(C83="",1,IF(C83&gt;0,(C83/100)+1,(100/((-1)*C83))+1)))*(IF(D83="",1,IF(D83&gt;0,(D83/100)+1,(100/((-1)*D83))+1)))*(IF(E83="",1,IF(E83&gt;0,(E83/100)+1,(100/((-1)*E83))+1)))*(IF(F83="",1,IF(F83&gt;0,(F83/100)+1,(100/((-1)*F83))+1)))*(IF(G83="",1,IF(G83&gt;0,(G83/100)+1,(100/((-1)*G83))+1)))*(IF(H83="",1,IF(H83&gt;0,(H83/100)+1,(100/((-1)*H83))+1)))*(IF(I83="",1,IF(I83&gt;0,(I83/100)+1,(100/((-1)*I83))+1)))*(IF(J83="",1,IF(J83&gt;0,(J83/100)+1,(100/((-1)*J83))+1)))*(IF(K83="",1,IF(K83&gt;0,(K83/100)+1,(100/((-1)*K83))+1)))*(IF(L83="",1,IF(L83&gt;0,(L83/100)+1,(100/((-1)*L83))+1))))-1)*(100))))&lt;0,(((-100)/((IF(((IF(C83="",1,IF(C83&gt;0,(C83/100)+1,(100/((-1)*C83))+1)))*(IF(D83="",1,IF(D83&gt;0,(D83/100)+1,(100/((-1)*D83))+1)))*(IF(E83="",1,IF(E83&gt;0,(E83/100)+1,(100/((-1)*E83))+1)))*(IF(F83="",1,IF(F83&gt;0,(F83/100)+1,(100/((-1)*F83))+1)))*(IF(G83="",1,IF(G83&gt;0,(G83/100)+1,(100/((-1)*G83))+1)))*(IF(H83="",1,IF(H83&gt;0,(H83/100)+1,(100/((-1)*H83))+1)))*(IF(I83="",1,IF(I83&gt;0,(I83/100)+1,(100/((-1)*I83))+1)))*(IF(J83="",1,IF(J83&gt;0,(J83/100)+1,(100/((-1)*J83))+1)))*(IF(K83="",1,IF(K83&gt;0,(K83/100)+1,(100/((-1)*K83))+1)))*(IF(L83="",1,IF(L83&gt;0,(L83/100)+1,(100/((-1)*L83))+1))))&lt;2,((-100)/(((IF(C83="",1,IF(C83&gt;0,(C83/100)+1,(100/((-1)*C83))+1)))*(IF(D83="",1,IF(D83&gt;0,(D83/100)+1,(100/((-1)*D83))+1)))*(IF(E83="",1,IF(E83&gt;0,(E83/100)+1,(100/((-1)*E83))+1)))*(IF(F83="",1,IF(F83&gt;0,(F83/100)+1,(100/((-1)*F83))+1)))*(IF(G83="",1,IF(G83&gt;0,(G83/100)+1,(100/((-1)*G83))+1)))*(IF(H83="",1,IF(H83&gt;0,(H83/100)+1,(100/((-1)*H83))+1)))*(IF(I83="",1,IF(I83&gt;0,(I83/100)+1,(100/((-1)*I83))+1)))*(IF(J83="",1,IF(J83&gt;0,(J83/100)+1,(100/((-1)*J83))+1)))*(IF(K83="",1,IF(K83&gt;0,(K83/100)+1,(100/((-1)*K83))+1)))*(IF(L83="",1,IF(L83&gt;0,(L83/100)+1,(100/((-1)*L83))+1))))-1)),((((IF(C83="",1,IF(C83&gt;0,(C83/100)+1,(100/((-1)*C83))+1)))*(IF(D83="",1,IF(D83&gt;0,(D83/100)+1,(100/((-1)*D83))+1)))*(IF(E83="",1,IF(E83&gt;0,(E83/100)+1,(100/((-1)*E83))+1)))*(IF(F83="",1,IF(F83&gt;0,(F83/100)+1,(100/((-1)*F83))+1)))*(IF(G83="",1,IF(G83&gt;0,(G83/100)+1,(100/((-1)*G83))+1)))*(IF(H83="",1,IF(H83&gt;0,(H83/100)+1,(100/((-1)*H83))+1)))*(IF(I83="",1,IF(I83&gt;0,(I83/100)+1,(100/((-1)*I83))+1)))*(IF(J83="",1,IF(J83&gt;0,(J83/100)+1,(100/((-1)*J83))+1)))*(IF(K83="",1,IF(K83&gt;0,(K83/100)+1,(100/((-1)*K83))+1)))*(IF(L83="",1,IF(L83&gt;0,(L83/100)+1,(100/((-1)*L83))+1))))-1)*(100))))))*10),(((IF(((IF(C83="",1,IF(C83&gt;0,(C83/100)+1,(100/((-1)*C83))+1)))*(IF(D83="",1,IF(D83&gt;0,(D83/100)+1,(100/((-1)*D83))+1)))*(IF(E83="",1,IF(E83&gt;0,(E83/100)+1,(100/((-1)*E83))+1)))*(IF(F83="",1,IF(F83&gt;0,(F83/100)+1,(100/((-1)*F83))+1)))*(IF(G83="",1,IF(G83&gt;0,(G83/100)+1,(100/((-1)*G83))+1)))*(IF(H83="",1,IF(H83&gt;0,(H83/100)+1,(100/((-1)*H83))+1)))*(IF(I83="",1,IF(I83&gt;0,(I83/100)+1,(100/((-1)*I83))+1)))*(IF(J83="",1,IF(J83&gt;0,(J83/100)+1,(100/((-1)*J83))+1)))*(IF(K83="",1,IF(K83&gt;0,(K83/100)+1,(100/((-1)*K83))+1)))*(IF(L83="",1,IF(L83&gt;0,(L83/100)+1,(100/((-1)*L83))+1))))&lt;2,((-100)/(((IF(C83="",1,IF(C83&gt;0,(C83/100)+1,(100/((-1)*C83))+1)))*(IF(D83="",1,IF(D83&gt;0,(D83/100)+1,(100/((-1)*D83))+1)))*(IF(E83="",1,IF(E83&gt;0,(E83/100)+1,(100/((-1)*E83))+1)))*(IF(F83="",1,IF(F83&gt;0,(F83/100)+1,(100/((-1)*F83))+1)))*(IF(G83="",1,IF(G83&gt;0,(G83/100)+1,(100/((-1)*G83))+1)))*(IF(H83="",1,IF(H83&gt;0,(H83/100)+1,(100/((-1)*H83))+1)))*(IF(I83="",1,IF(I83&gt;0,(I83/100)+1,(100/((-1)*I83))+1)))*(IF(J83="",1,IF(J83&gt;0,(J83/100)+1,(100/((-1)*J83))+1)))*(IF(K83="",1,IF(K83&gt;0,(K83/100)+1,(100/((-1)*K83))+1)))*(IF(L83="",1,IF(L83&gt;0,(L83/100)+1,(100/((-1)*L83))+1))))-1)),((((IF(C83="",1,IF(C83&gt;0,(C83/100)+1,(100/((-1)*C83))+1)))*(IF(D83="",1,IF(D83&gt;0,(D83/100)+1,(100/((-1)*D83))+1)))*(IF(E83="",1,IF(E83&gt;0,(E83/100)+1,(100/((-1)*E83))+1)))*(IF(F83="",1,IF(F83&gt;0,(F83/100)+1,(100/((-1)*F83))+1)))*(IF(G83="",1,IF(G83&gt;0,(G83/100)+1,(100/((-1)*G83))+1)))*(IF(H83="",1,IF(H83&gt;0,(H83/100)+1,(100/((-1)*H83))+1)))*(IF(I83="",1,IF(I83&gt;0,(I83/100)+1,(100/((-1)*I83))+1)))*(IF(J83="",1,IF(J83&gt;0,(J83/100)+1,(100/((-1)*J83))+1)))*(IF(K83="",1,IF(K83&gt;0,(K83/100)+1,(100/((-1)*K83))+1)))*(IF(L83="",1,IF(L83&gt;0,(L83/100)+1,(100/((-1)*L83))+1))))-1)*(100))))/100)*10)))</f>
        <v>4776.577227</v>
      </c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 ht="16.5" customHeight="1">
      <c r="A84" s="3" t="s">
        <v>37</v>
      </c>
      <c r="B84" s="2"/>
      <c r="C84" s="5" t="s">
        <v>415</v>
      </c>
      <c r="D84" s="5" t="s">
        <v>416</v>
      </c>
      <c r="E84" s="5" t="s">
        <v>417</v>
      </c>
      <c r="F84" s="5" t="s">
        <v>418</v>
      </c>
      <c r="G84" s="5" t="s">
        <v>419</v>
      </c>
      <c r="H84" s="5" t="s">
        <v>420</v>
      </c>
      <c r="I84" s="5" t="s">
        <v>421</v>
      </c>
      <c r="J84" s="5" t="s">
        <v>174</v>
      </c>
      <c r="K84" s="5" t="s">
        <v>422</v>
      </c>
      <c r="L84" s="5" t="s">
        <v>423</v>
      </c>
      <c r="M84" s="2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 ht="16.5" customHeight="1">
      <c r="A85" s="3" t="s">
        <v>48</v>
      </c>
      <c r="B85" s="2"/>
      <c r="C85" s="5" t="s">
        <v>424</v>
      </c>
      <c r="D85" s="5" t="s">
        <v>425</v>
      </c>
      <c r="E85" s="5" t="s">
        <v>426</v>
      </c>
      <c r="F85" s="5" t="s">
        <v>427</v>
      </c>
      <c r="G85" s="5" t="s">
        <v>53</v>
      </c>
      <c r="H85" s="5" t="s">
        <v>269</v>
      </c>
      <c r="I85" s="5" t="s">
        <v>428</v>
      </c>
      <c r="J85" s="5" t="s">
        <v>429</v>
      </c>
      <c r="K85" s="5" t="s">
        <v>430</v>
      </c>
      <c r="L85" s="5" t="s">
        <v>431</v>
      </c>
      <c r="M85" s="2"/>
      <c r="N85" s="4"/>
      <c r="O85" s="3" t="s">
        <v>56</v>
      </c>
      <c r="P85" s="3" t="s">
        <v>57</v>
      </c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 ht="16.5" customHeight="1">
      <c r="A86" s="3" t="s">
        <v>59</v>
      </c>
      <c r="B86" s="2"/>
      <c r="C86" s="5" t="s">
        <v>60</v>
      </c>
      <c r="D86" s="5" t="s">
        <v>60</v>
      </c>
      <c r="E86" s="5" t="s">
        <v>60</v>
      </c>
      <c r="F86" s="5" t="s">
        <v>60</v>
      </c>
      <c r="G86" s="5" t="s">
        <v>60</v>
      </c>
      <c r="H86" s="5" t="s">
        <v>62</v>
      </c>
      <c r="I86" s="5" t="s">
        <v>62</v>
      </c>
      <c r="J86" s="5" t="s">
        <v>62</v>
      </c>
      <c r="K86" s="5" t="s">
        <v>62</v>
      </c>
      <c r="L86" s="5" t="s">
        <v>60</v>
      </c>
      <c r="M86" s="2"/>
      <c r="N86" s="3" t="s">
        <v>65</v>
      </c>
      <c r="O86" s="12" t="str">
        <f>IFERROR(__xludf.DUMMYFUNCTION("IF(OR(COUNTA(C83:L83) = 0, COUNTA(C86:L86) = 0), """", IFERROR(TEXTJOIN("", "", TRUE, FILTER(C80:L80, (C86:L86 = ""W"") * (C83:L83 = MAX(FILTER(C83:L83, C86:L86 = ""W""))))), """"))"),"Carson")</f>
        <v>Carson</v>
      </c>
      <c r="P86" s="12" t="str">
        <f>IFERROR(__xludf.DUMMYFUNCTION("IF(COUNTA(C91:L91) = 0, """", IFERROR(TEXTJOIN("", "", TRUE, FILTER(C80:L80, C91:L91 = MAX(C91:L91))), """"))"),"Clayton")</f>
        <v>Clayton</v>
      </c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 ht="16.5" customHeight="1">
      <c r="A87" s="1" t="s">
        <v>81</v>
      </c>
      <c r="B87" s="2"/>
      <c r="C87" s="4">
        <f t="shared" ref="C87:L87" si="25">IF(OR(C83="",C86=""),"",C74+COUNTIF(C86,"W"))</f>
        <v>5</v>
      </c>
      <c r="D87" s="4">
        <f t="shared" si="25"/>
        <v>5</v>
      </c>
      <c r="E87" s="4">
        <f t="shared" si="25"/>
        <v>6</v>
      </c>
      <c r="F87" s="4">
        <f t="shared" si="25"/>
        <v>6</v>
      </c>
      <c r="G87" s="4">
        <f t="shared" si="25"/>
        <v>3</v>
      </c>
      <c r="H87" s="4">
        <f t="shared" si="25"/>
        <v>5</v>
      </c>
      <c r="I87" s="4">
        <f t="shared" si="25"/>
        <v>3</v>
      </c>
      <c r="J87" s="4">
        <f t="shared" si="25"/>
        <v>4</v>
      </c>
      <c r="K87" s="4">
        <f t="shared" si="25"/>
        <v>2</v>
      </c>
      <c r="L87" s="4">
        <f t="shared" si="25"/>
        <v>5</v>
      </c>
      <c r="M87" s="2"/>
      <c r="N87" s="3" t="s">
        <v>82</v>
      </c>
      <c r="O87" s="4" t="str">
        <f>IFERROR(__xludf.DUMMYFUNCTION("IF(OR(COUNTA(C83:L83) = 0, COUNTA(C86:L86) = 0), """", IFERROR(TEXTJOIN("", "", TRUE, FILTER(C80:L80, (C86:L86 = ""L"") * (C83:L83 = MIN(FILTER(C83:L83, C86:L86 = ""L""))))), """"))"),"Nick")</f>
        <v>Nick</v>
      </c>
      <c r="P87" s="12" t="str">
        <f>IFERROR(__xludf.DUMMYFUNCTION("IF(COUNTA(C91:L91) = 0, """", IFERROR(TEXTJOIN("", "", TRUE, FILTER(C80:L80, C91:L91 = MIN(C91:L91))), """"))"),"Taylon")</f>
        <v>Taylon</v>
      </c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 ht="16.5" customHeight="1">
      <c r="A88" s="1" t="s">
        <v>83</v>
      </c>
      <c r="B88" s="2"/>
      <c r="C88" s="27">
        <f t="shared" ref="C88:L88" si="26">IF(OR(C83="",C86=""),"",C75+COUNTIF(C86,"L"))</f>
        <v>2</v>
      </c>
      <c r="D88" s="27">
        <f t="shared" si="26"/>
        <v>2</v>
      </c>
      <c r="E88" s="27">
        <f t="shared" si="26"/>
        <v>1</v>
      </c>
      <c r="F88" s="27">
        <f t="shared" si="26"/>
        <v>1</v>
      </c>
      <c r="G88" s="27">
        <f t="shared" si="26"/>
        <v>4</v>
      </c>
      <c r="H88" s="27">
        <f t="shared" si="26"/>
        <v>2</v>
      </c>
      <c r="I88" s="27">
        <f t="shared" si="26"/>
        <v>4</v>
      </c>
      <c r="J88" s="27">
        <f t="shared" si="26"/>
        <v>3</v>
      </c>
      <c r="K88" s="27">
        <f t="shared" si="26"/>
        <v>5</v>
      </c>
      <c r="L88" s="27">
        <f t="shared" si="26"/>
        <v>2</v>
      </c>
      <c r="M88" s="2"/>
      <c r="N88" s="3" t="s">
        <v>84</v>
      </c>
      <c r="O88" s="12" t="str">
        <f>IFERROR(__xludf.DUMMYFUNCTION("IF(COUNTA(C83:L83) = 0, """", IFERROR(TEXTJOIN("", "", TRUE, FILTER(C80:L80, C83:L83 = MAX(C83:L83))), """"))"),"Jake")</f>
        <v>Jake</v>
      </c>
      <c r="P88" s="4" t="str">
        <f>IFERROR(__xludf.DUMMYFUNCTION("IF(COUNTA(C83:L83) = 0, """", IFERROR(TEXTJOIN("", "", TRUE, FILTER(C80:L80, C90:L90 = MAX(C90:L90))), """"))"),"Hunter")</f>
        <v>Hunter</v>
      </c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 ht="16.5" customHeight="1">
      <c r="A89" s="3" t="s">
        <v>85</v>
      </c>
      <c r="B89" s="2"/>
      <c r="C89" s="24">
        <f t="shared" ref="C89:L89" si="27">IF(OR(C83="",C86=""),"",(C87/(C87+C88)))</f>
        <v>0.7142857143</v>
      </c>
      <c r="D89" s="24">
        <f t="shared" si="27"/>
        <v>0.7142857143</v>
      </c>
      <c r="E89" s="24">
        <f t="shared" si="27"/>
        <v>0.8571428571</v>
      </c>
      <c r="F89" s="24">
        <f t="shared" si="27"/>
        <v>0.8571428571</v>
      </c>
      <c r="G89" s="24">
        <f t="shared" si="27"/>
        <v>0.4285714286</v>
      </c>
      <c r="H89" s="24">
        <f t="shared" si="27"/>
        <v>0.7142857143</v>
      </c>
      <c r="I89" s="24">
        <f t="shared" si="27"/>
        <v>0.4285714286</v>
      </c>
      <c r="J89" s="24">
        <f t="shared" si="27"/>
        <v>0.5714285714</v>
      </c>
      <c r="K89" s="24">
        <f t="shared" si="27"/>
        <v>0.2857142857</v>
      </c>
      <c r="L89" s="24">
        <f t="shared" si="27"/>
        <v>0.7142857143</v>
      </c>
      <c r="M89" s="14"/>
      <c r="N89" s="3" t="s">
        <v>86</v>
      </c>
      <c r="O89" s="4" t="str">
        <f>IFERROR(__xludf.DUMMYFUNCTION("IF(COUNTA(C83:L83) = 0, """", IFERROR(TEXTJOIN("", "", TRUE, FILTER(C80:L80, C83:L83 = MIN(C83:L83))), """"))"),"Austin")</f>
        <v>Austin</v>
      </c>
      <c r="P89" s="4" t="str">
        <f>IFERROR(__xludf.DUMMYFUNCTION("IF(COUNTA(C83:L83) = 0, """", IFERROR(TEXTJOIN("", "", TRUE, FILTER(C80:L80, C90:L90 = MIN(C90:L90))), """"))"),"Carson")</f>
        <v>Carson</v>
      </c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 ht="16.5" customHeight="1">
      <c r="A90" s="3" t="s">
        <v>87</v>
      </c>
      <c r="B90" s="2"/>
      <c r="C90" s="25">
        <f t="shared" ref="C90:L90" si="28">IF(C83="","",IF(((IF(C83 &lt;0,((-100/C83)+1),((C83/100)+1))+(IF(C77&lt;0,((-100/C77)+1),((C77/100)+1)))*(C74+C75))/(C74+C75+1))&lt;2,(-100/(((IF(C83 &lt;0,((-100/C83)+1),((C83/100)+1))+(IF(C77&lt;0,((-100/C77)+1),((C77/100)+1)))*(C74+C75))/(C74+C75+1))-1)),(((IF(C83 &lt;0,((-100/C83)+1),((C83/100)+1))+(IF(C77&lt;0,((-100/C77)+1),((C77/100)+1)))*(C74+C75))/(C74+C75+1))-1)*100))</f>
        <v>-124.2658445</v>
      </c>
      <c r="D90" s="25">
        <f t="shared" si="28"/>
        <v>-138.2936307</v>
      </c>
      <c r="E90" s="25">
        <f t="shared" si="28"/>
        <v>-104.8213307</v>
      </c>
      <c r="F90" s="25">
        <f t="shared" si="28"/>
        <v>-132.3278283</v>
      </c>
      <c r="G90" s="25">
        <f t="shared" si="28"/>
        <v>101.1574617</v>
      </c>
      <c r="H90" s="25">
        <f t="shared" si="28"/>
        <v>-103.9723792</v>
      </c>
      <c r="I90" s="25">
        <f t="shared" si="28"/>
        <v>-124.9441665</v>
      </c>
      <c r="J90" s="25">
        <f t="shared" si="28"/>
        <v>-100.8706256</v>
      </c>
      <c r="K90" s="25">
        <f t="shared" si="28"/>
        <v>-112.2991805</v>
      </c>
      <c r="L90" s="25">
        <f t="shared" si="28"/>
        <v>-127.4472596</v>
      </c>
      <c r="M90" s="14"/>
      <c r="N90" s="4"/>
      <c r="O90" s="12"/>
      <c r="P90" s="12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>
      <c r="A91" s="16" t="s">
        <v>88</v>
      </c>
      <c r="B91" s="2"/>
      <c r="C91" s="26">
        <f>IFERROR(__xludf.DUMMYFUNCTION("IF(OR(C83="""",C86=""""),"""",IF(REGEXMATCH(C86,""W""),IF(C83&lt;0,((-100/C83))*10+C78,((C83/100)*10+C78)),-10+C78))"),14.835192619924177)</f>
        <v>14.83519262</v>
      </c>
      <c r="D91" s="26">
        <f>IFERROR(__xludf.DUMMYFUNCTION("IF(OR(D83="""",D86=""""),"""",IF(REGEXMATCH(D86,""W""),IF(D83&lt;0,((-100/D83))*10+D78,((D83/100)*10+D78)),-10+D78))"),13.20952965837876)</f>
        <v>13.20952966</v>
      </c>
      <c r="E91" s="26">
        <f>IFERROR(__xludf.DUMMYFUNCTION("IF(OR(E83="""",E86=""""),"""",IF(REGEXMATCH(E86,""W""),IF(E83&lt;0,((-100/E83))*10+E78,((E83/100)*10+E78)),-10+E78))"),46.78030086370348)</f>
        <v>46.78030086</v>
      </c>
      <c r="F91" s="26">
        <f>IFERROR(__xludf.DUMMYFUNCTION("IF(OR(F83="""",F86=""""),"""",IF(REGEXMATCH(F86,""W""),IF(F83&lt;0,((-100/F83))*10+F78,((F83/100)*10+F78)),-10+F78))"),32.698926004773085)</f>
        <v>32.698926</v>
      </c>
      <c r="G91" s="26">
        <f>IFERROR(__xludf.DUMMYFUNCTION("IF(OR(G83="""",G86=""""),"""",IF(REGEXMATCH(G86,""W""),IF(G83&lt;0,((-100/G83))*10+G78,((G83/100)*10+G78)),-10+G78))"),-17.61735474006116)</f>
        <v>-17.61735474</v>
      </c>
      <c r="H91" s="26">
        <f>IFERROR(__xludf.DUMMYFUNCTION("IF(OR(H83="""",H86=""""),"""",IF(REGEXMATCH(H86,""W""),IF(H83&lt;0,((-100/H83))*10+H78,((H83/100)*10+H78)),-10+H78))"),23.801763401309024)</f>
        <v>23.8017634</v>
      </c>
      <c r="I91" s="26">
        <f>IFERROR(__xludf.DUMMYFUNCTION("IF(OR(I83="""",I86=""""),"""",IF(REGEXMATCH(I86,""W""),IF(I83&lt;0,((-100/I83))*10+I78,((I83/100)*10+I78)),-10+I78))"),-20.89308067951635)</f>
        <v>-20.89308068</v>
      </c>
      <c r="J91" s="26">
        <f>IFERROR(__xludf.DUMMYFUNCTION("IF(OR(J83="""",J86=""""),"""",IF(REGEXMATCH(J86,""W""),IF(J83&lt;0,((-100/J83))*10+J78,((J83/100)*10+J78)),-10+J78))"),12.892307692307696)</f>
        <v>12.89230769</v>
      </c>
      <c r="K91" s="26">
        <f>IFERROR(__xludf.DUMMYFUNCTION("IF(OR(K83="""",K86=""""),"""",IF(REGEXMATCH(K86,""W""),IF(K83&lt;0,((-100/K83))*10+K78,((K83/100)*10+K78)),-10+K78))"),-29.725984251968505)</f>
        <v>-29.72598425</v>
      </c>
      <c r="L91" s="26">
        <f>IFERROR(__xludf.DUMMYFUNCTION("IF(OR(L83="""",L86=""""),"""",IF(REGEXMATCH(L86,""W""),IF(L83&lt;0,((-100/L83))*10+L78,((L83/100)*10+L78)),-10+L78))"),18.253382797798714)</f>
        <v>18.2533828</v>
      </c>
      <c r="M91" s="14"/>
      <c r="N91" s="16" t="s">
        <v>89</v>
      </c>
      <c r="O91" s="10">
        <f>IFERROR(__xludf.DUMMYFUNCTION("IF(AND(C91="""",AND(D91="""",AND(E91="""",AND(F91="""",AND(G91="""",AND(H91="""",AND(I91="""",AND(J91="""",AND(K91="""",L91=""""))))))))),"""",(IF(C86="""",0,IF(REGEXMATCH(C86,""W""),IF(C83&lt;0,((-100/C83))*10,((C83/100)*10)),-10))+IF(D86="""",0,IF(REGEXMAT"&amp;"CH(D86,""W""),IF(D83&lt;0,((-100/D83))*10,((D83/100)*10)),-10))+IF(E86="""",0,IF(REGEXMATCH(E86,""W""),IF(E83&lt;0,((-100/E83))*10,((E83/100)*10)),-10))+IF(F86="""",0,IF(REGEXMATCH(F86,""W""),IF(F83&lt;0,((-100/F83))*10,((F83/100)*10)),-10))+IF(G86="""",0,IF(REGEX"&amp;"MATCH(G86,""W""),IF(G83&lt;0,((-100/G83))*10,((G83/100)*10)),-10))+IF(H86="""",0,IF(REGEXMATCH(H86,""W""),IF(H83&lt;0,((-100/H83))*10,((H83/100)*10)),-10))+IF(I86="""",0,IF(REGEXMATCH(I86,""W""),IF(I83&lt;0,((-100/I83))*10,((I83/100)*10)),-10))+IF(J86="""",0,IF(RE"&amp;"GEXMATCH(J86,""W""),IF(J83&lt;0,((-100/J83))*10,((J83/100)*10)),-10))+IF(K86="""",0,IF(REGEXMATCH(K86,""W""),IF(K83&lt;0,((-100/K83))*10,((K83/100)*10)),-10))+IF(L86="""",0,IF(REGEXMATCH(L86,""W""),IF(L83&lt;0,((-100/L83))*10,((L83/100)*10)),-10))))"),4.490202954379313)</f>
        <v>4.490202954</v>
      </c>
      <c r="P91" s="10">
        <f>IFERROR(__xludf.DUMMYFUNCTION("IF(AND(C91="""",AND(D91="""",AND(E91="""",AND(F91="""",AND(G91="""",AND(H91="""",AND(I91="""",AND(J91="""",AND(K91="""",L91=""""))))))))),"""",(P78+IF(C86="""",0,IF(REGEXMATCH(C86,""W""),IF(C83&lt;0,((-100/C83))*10,((C83/100)*10)),-10))+IF(D86="""",0,IF(REGE"&amp;"XMATCH(D86,""W""),IF(D83&lt;0,((-100/D83))*10,((D83/100)*10)),-10))+IF(E86="""",0,IF(REGEXMATCH(E86,""W""),IF(E83&lt;0,((-100/E83))*10,((E83/100)*10)),-10))+IF(F86="""",0,IF(REGEXMATCH(F86,""W""),IF(F83&lt;0,((-100/F83))*10,((F83/100)*10)),-10))+IF(G86="""",0,IF(R"&amp;"EGEXMATCH(G86,""W""),IF(G83&lt;0,((-100/G83))*10,((G83/100)*10)),-10))+IF(H86="""",0,IF(REGEXMATCH(H86,""W""),IF(H83&lt;0,((-100/H83))*10,((H83/100)*10)),-10))+IF(I86="""",0,IF(REGEXMATCH(I86,""W""),IF(I83&lt;0,((-100/I83))*10,((I83/100)*10)),-10))+IF(J86="""",0,I"&amp;"F(REGEXMATCH(J86,""W""),IF(J83&lt;0,((-100/J83))*10,((J83/100)*10)),-10))+IF(K86="""",0,IF(REGEXMATCH(K86,""W""),IF(K83&lt;0,((-100/K83))*10,((K83/100)*10)),-10))+IF(L86="""",0,IF(REGEXMATCH(L86,""W""),IF(L83&lt;0,((-100/L83))*10,((L83/100)*10)),-10))))"),94.2349833666489)</f>
        <v>94.23498337</v>
      </c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 ht="16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 ht="16.5" customHeight="1">
      <c r="A93" s="1" t="s">
        <v>449</v>
      </c>
      <c r="B93" s="2"/>
      <c r="C93" s="3" t="s">
        <v>1</v>
      </c>
      <c r="D93" s="3" t="s">
        <v>2</v>
      </c>
      <c r="E93" s="3" t="s">
        <v>3</v>
      </c>
      <c r="F93" s="3" t="s">
        <v>4</v>
      </c>
      <c r="G93" s="3" t="s">
        <v>5</v>
      </c>
      <c r="H93" s="3" t="s">
        <v>6</v>
      </c>
      <c r="I93" s="3" t="s">
        <v>7</v>
      </c>
      <c r="J93" s="3" t="s">
        <v>8</v>
      </c>
      <c r="K93" s="3" t="s">
        <v>9</v>
      </c>
      <c r="L93" s="3" t="s">
        <v>10</v>
      </c>
      <c r="M93" s="2"/>
      <c r="N93" s="4"/>
      <c r="O93" s="3" t="s">
        <v>11</v>
      </c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 ht="16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 ht="16.5" customHeight="1">
      <c r="A95" s="3" t="s">
        <v>12</v>
      </c>
      <c r="B95" s="2"/>
      <c r="C95" s="5" t="s">
        <v>450</v>
      </c>
      <c r="D95" s="5" t="s">
        <v>451</v>
      </c>
      <c r="E95" s="5" t="s">
        <v>452</v>
      </c>
      <c r="F95" s="5" t="s">
        <v>453</v>
      </c>
      <c r="G95" s="5" t="s">
        <v>454</v>
      </c>
      <c r="H95" s="5" t="s">
        <v>455</v>
      </c>
      <c r="I95" s="5" t="s">
        <v>456</v>
      </c>
      <c r="J95" s="5" t="s">
        <v>457</v>
      </c>
      <c r="K95" s="5" t="s">
        <v>458</v>
      </c>
      <c r="L95" s="5" t="s">
        <v>459</v>
      </c>
      <c r="M95" s="2"/>
      <c r="N95" s="3" t="s">
        <v>13</v>
      </c>
      <c r="O95" s="7">
        <f>IF(AND(C96="",AND(D96="",AND(E96="",AND(F96="",AND(G96="",AND(H96="",AND(I96="",AND(J96="",AND(K96="",L96=""))))))))),"",IF(((IF(C96="",1,IF(C96&gt;0,(C96/100)+1,(100/((-1)*C96))+1)))*(IF(D96="",1,IF(D96&gt;0,(D96/100)+1,(100/((-1)*D96))+1)))*(IF(E96="",1,IF(E96&gt;0,(E96/100)+1,(100/((-1)*E96))+1)))*(IF(F96="",1,IF(F96&gt;0,(F96/100)+1,(100/((-1)*F96))+1)))*(IF(G96="",1,IF(G96&gt;0,(G96/100)+1,(100/((-1)*G96))+1)))*(IF(H96="",1,IF(H96&gt;0,(H96/100)+1,(100/((-1)*H96))+1)))*(IF(I96="",1,IF(I96&gt;0,(I96/100)+1,(100/((-1)*I96))+1)))*(IF(J96="",1,IF(J96&gt;0,(J96/100)+1,(100/((-1)*J96))+1)))*(IF(K96="",1,IF(K96&gt;0,(K96/100)+1,(100/((-1)*K96))+1)))*(IF(L96="",1,IF(L96&gt;0,(L96/100)+1,(100/((-1)*L96))+1))))&lt;2,((-100)/(((IF(C96="",1,IF(C96&gt;0,(C96/100)+1,(100/((-1)*C96))+1)))*(IF(D96="",1,IF(D96&gt;0,(D96/100)+1,(100/((-1)*D96))+1)))*(IF(E96="",1,IF(E96&gt;0,(E96/100)+1,(100/((-1)*E96))+1)))*(IF(F96="",1,IF(F96&gt;0,(F96/100)+1,(100/((-1)*F96))+1)))*(IF(G96="",1,IF(G96&gt;0,(G96/100)+1,(100/((-1)*G96))+1)))*(IF(H96="",1,IF(H96&gt;0,(H96/100)+1,(100/((-1)*H96))+1)))*(IF(I96="",1,IF(I96&gt;0,(I96/100)+1,(100/((-1)*I96))+1)))*(IF(J96="",1,IF(J96&gt;0,(J96/100)+1,(100/((-1)*J96))+1)))*(IF(K96="",1,IF(K96&gt;0,(K96/100)+1,(100/((-1)*K96))+1)))*(IF(L96="",1,IF(L96&gt;0,(L96/100)+1,(100/((-1)*L96))+1))))-1)),((((IF(C96="",1,IF(C96&gt;0,(C96/100)+1,(100/((-1)*C96))+1)))*(IF(D96="",1,IF(D96&gt;0,(D96/100)+1,(100/((-1)*D96))+1)))*(IF(E96="",1,IF(E96&gt;0,(E96/100)+1,(100/((-1)*E96))+1)))*(IF(F96="",1,IF(F96&gt;0,(F96/100)+1,(100/((-1)*F96))+1)))*(IF(G96="",1,IF(G96&gt;0,(G96/100)+1,(100/((-1)*G96))+1)))*(IF(H96="",1,IF(H96&gt;0,(H96/100)+1,(100/((-1)*H96))+1)))*(IF(I96="",1,IF(I96&gt;0,(I96/100)+1,(100/((-1)*I96))+1)))*(IF(J96="",1,IF(J96&gt;0,(J96/100)+1,(100/((-1)*J96))+1)))*(IF(K96="",1,IF(K96&gt;0,(K96/100)+1,(100/((-1)*K96))+1)))*(IF(L96="",1,IF(L96&gt;0,(L96/100)+1,(100/((-1)*L96))+1))))-1)*(100))))</f>
        <v>60738.69593</v>
      </c>
      <c r="P95" s="4"/>
      <c r="Q95" s="8" t="s">
        <v>35</v>
      </c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 ht="16.5" customHeight="1">
      <c r="A96" s="3" t="s">
        <v>13</v>
      </c>
      <c r="B96" s="2"/>
      <c r="C96" s="5">
        <v>-120.0</v>
      </c>
      <c r="D96" s="5">
        <v>-105.0</v>
      </c>
      <c r="E96" s="5">
        <v>-111.0</v>
      </c>
      <c r="F96" s="5">
        <v>-120.0</v>
      </c>
      <c r="G96" s="5">
        <v>-179.0</v>
      </c>
      <c r="H96" s="5">
        <v>120.0</v>
      </c>
      <c r="I96" s="5">
        <v>-169.0</v>
      </c>
      <c r="J96" s="5">
        <v>-135.0</v>
      </c>
      <c r="K96" s="5">
        <v>-120.0</v>
      </c>
      <c r="L96" s="5">
        <v>180.0</v>
      </c>
      <c r="M96" s="2">
        <v>7.0</v>
      </c>
      <c r="N96" s="3" t="s">
        <v>36</v>
      </c>
      <c r="O96" s="10">
        <f>IF(AND(C96="",AND(D96="",AND(E96="",AND(F96="",AND(G96="",AND(H96="",AND(I96="",AND(J96="",AND(K96="",L96=""))))))))),"",10+IF((IF(((IF(C96="",1,IF(C96&gt;0,(C96/100)+1,(100/((-1)*C96))+1)))*(IF(D96="",1,IF(D96&gt;0,(D96/100)+1,(100/((-1)*D96))+1)))*(IF(E96="",1,IF(E96&gt;0,(E96/100)+1,(100/((-1)*E96))+1)))*(IF(F96="",1,IF(F96&gt;0,(F96/100)+1,(100/((-1)*F96))+1)))*(IF(G96="",1,IF(G96&gt;0,(G96/100)+1,(100/((-1)*G96))+1)))*(IF(H96="",1,IF(H96&gt;0,(H96/100)+1,(100/((-1)*H96))+1)))*(IF(I96="",1,IF(I96&gt;0,(I96/100)+1,(100/((-1)*I96))+1)))*(IF(J96="",1,IF(J96&gt;0,(J96/100)+1,(100/((-1)*J96))+1)))*(IF(K96="",1,IF(K96&gt;0,(K96/100)+1,(100/((-1)*K96))+1)))*(IF(L96="",1,IF(L96&gt;0,(L96/100)+1,(100/((-1)*L96))+1))))&lt;2,((-100)/(((IF(C96="",1,IF(C96&gt;0,(C96/100)+1,(100/((-1)*C96))+1)))*(IF(D96="",1,IF(D96&gt;0,(D96/100)+1,(100/((-1)*D96))+1)))*(IF(E96="",1,IF(E96&gt;0,(E96/100)+1,(100/((-1)*E96))+1)))*(IF(F96="",1,IF(F96&gt;0,(F96/100)+1,(100/((-1)*F96))+1)))*(IF(G96="",1,IF(G96&gt;0,(G96/100)+1,(100/((-1)*G96))+1)))*(IF(H96="",1,IF(H96&gt;0,(H96/100)+1,(100/((-1)*H96))+1)))*(IF(I96="",1,IF(I96&gt;0,(I96/100)+1,(100/((-1)*I96))+1)))*(IF(J96="",1,IF(J96&gt;0,(J96/100)+1,(100/((-1)*J96))+1)))*(IF(K96="",1,IF(K96&gt;0,(K96/100)+1,(100/((-1)*K96))+1)))*(IF(L96="",1,IF(L96&gt;0,(L96/100)+1,(100/((-1)*L96))+1))))-1)),((((IF(C96="",1,IF(C96&gt;0,(C96/100)+1,(100/((-1)*C96))+1)))*(IF(D96="",1,IF(D96&gt;0,(D96/100)+1,(100/((-1)*D96))+1)))*(IF(E96="",1,IF(E96&gt;0,(E96/100)+1,(100/((-1)*E96))+1)))*(IF(F96="",1,IF(F96&gt;0,(F96/100)+1,(100/((-1)*F96))+1)))*(IF(G96="",1,IF(G96&gt;0,(G96/100)+1,(100/((-1)*G96))+1)))*(IF(H96="",1,IF(H96&gt;0,(H96/100)+1,(100/((-1)*H96))+1)))*(IF(I96="",1,IF(I96&gt;0,(I96/100)+1,(100/((-1)*I96))+1)))*(IF(J96="",1,IF(J96&gt;0,(J96/100)+1,(100/((-1)*J96))+1)))*(IF(K96="",1,IF(K96&gt;0,(K96/100)+1,(100/((-1)*K96))+1)))*(IF(L96="",1,IF(L96&gt;0,(L96/100)+1,(100/((-1)*L96))+1))))-1)*(100))))&lt;0,(((-100)/((IF(((IF(C96="",1,IF(C96&gt;0,(C96/100)+1,(100/((-1)*C96))+1)))*(IF(D96="",1,IF(D96&gt;0,(D96/100)+1,(100/((-1)*D96))+1)))*(IF(E96="",1,IF(E96&gt;0,(E96/100)+1,(100/((-1)*E96))+1)))*(IF(F96="",1,IF(F96&gt;0,(F96/100)+1,(100/((-1)*F96))+1)))*(IF(G96="",1,IF(G96&gt;0,(G96/100)+1,(100/((-1)*G96))+1)))*(IF(H96="",1,IF(H96&gt;0,(H96/100)+1,(100/((-1)*H96))+1)))*(IF(I96="",1,IF(I96&gt;0,(I96/100)+1,(100/((-1)*I96))+1)))*(IF(J96="",1,IF(J96&gt;0,(J96/100)+1,(100/((-1)*J96))+1)))*(IF(K96="",1,IF(K96&gt;0,(K96/100)+1,(100/((-1)*K96))+1)))*(IF(L96="",1,IF(L96&gt;0,(L96/100)+1,(100/((-1)*L96))+1))))&lt;2,((-100)/(((IF(C96="",1,IF(C96&gt;0,(C96/100)+1,(100/((-1)*C96))+1)))*(IF(D96="",1,IF(D96&gt;0,(D96/100)+1,(100/((-1)*D96))+1)))*(IF(E96="",1,IF(E96&gt;0,(E96/100)+1,(100/((-1)*E96))+1)))*(IF(F96="",1,IF(F96&gt;0,(F96/100)+1,(100/((-1)*F96))+1)))*(IF(G96="",1,IF(G96&gt;0,(G96/100)+1,(100/((-1)*G96))+1)))*(IF(H96="",1,IF(H96&gt;0,(H96/100)+1,(100/((-1)*H96))+1)))*(IF(I96="",1,IF(I96&gt;0,(I96/100)+1,(100/((-1)*I96))+1)))*(IF(J96="",1,IF(J96&gt;0,(J96/100)+1,(100/((-1)*J96))+1)))*(IF(K96="",1,IF(K96&gt;0,(K96/100)+1,(100/((-1)*K96))+1)))*(IF(L96="",1,IF(L96&gt;0,(L96/100)+1,(100/((-1)*L96))+1))))-1)),((((IF(C96="",1,IF(C96&gt;0,(C96/100)+1,(100/((-1)*C96))+1)))*(IF(D96="",1,IF(D96&gt;0,(D96/100)+1,(100/((-1)*D96))+1)))*(IF(E96="",1,IF(E96&gt;0,(E96/100)+1,(100/((-1)*E96))+1)))*(IF(F96="",1,IF(F96&gt;0,(F96/100)+1,(100/((-1)*F96))+1)))*(IF(G96="",1,IF(G96&gt;0,(G96/100)+1,(100/((-1)*G96))+1)))*(IF(H96="",1,IF(H96&gt;0,(H96/100)+1,(100/((-1)*H96))+1)))*(IF(I96="",1,IF(I96&gt;0,(I96/100)+1,(100/((-1)*I96))+1)))*(IF(J96="",1,IF(J96&gt;0,(J96/100)+1,(100/((-1)*J96))+1)))*(IF(K96="",1,IF(K96&gt;0,(K96/100)+1,(100/((-1)*K96))+1)))*(IF(L96="",1,IF(L96&gt;0,(L96/100)+1,(100/((-1)*L96))+1))))-1)*(100))))))*10),(((IF(((IF(C96="",1,IF(C96&gt;0,(C96/100)+1,(100/((-1)*C96))+1)))*(IF(D96="",1,IF(D96&gt;0,(D96/100)+1,(100/((-1)*D96))+1)))*(IF(E96="",1,IF(E96&gt;0,(E96/100)+1,(100/((-1)*E96))+1)))*(IF(F96="",1,IF(F96&gt;0,(F96/100)+1,(100/((-1)*F96))+1)))*(IF(G96="",1,IF(G96&gt;0,(G96/100)+1,(100/((-1)*G96))+1)))*(IF(H96="",1,IF(H96&gt;0,(H96/100)+1,(100/((-1)*H96))+1)))*(IF(I96="",1,IF(I96&gt;0,(I96/100)+1,(100/((-1)*I96))+1)))*(IF(J96="",1,IF(J96&gt;0,(J96/100)+1,(100/((-1)*J96))+1)))*(IF(K96="",1,IF(K96&gt;0,(K96/100)+1,(100/((-1)*K96))+1)))*(IF(L96="",1,IF(L96&gt;0,(L96/100)+1,(100/((-1)*L96))+1))))&lt;2,((-100)/(((IF(C96="",1,IF(C96&gt;0,(C96/100)+1,(100/((-1)*C96))+1)))*(IF(D96="",1,IF(D96&gt;0,(D96/100)+1,(100/((-1)*D96))+1)))*(IF(E96="",1,IF(E96&gt;0,(E96/100)+1,(100/((-1)*E96))+1)))*(IF(F96="",1,IF(F96&gt;0,(F96/100)+1,(100/((-1)*F96))+1)))*(IF(G96="",1,IF(G96&gt;0,(G96/100)+1,(100/((-1)*G96))+1)))*(IF(H96="",1,IF(H96&gt;0,(H96/100)+1,(100/((-1)*H96))+1)))*(IF(I96="",1,IF(I96&gt;0,(I96/100)+1,(100/((-1)*I96))+1)))*(IF(J96="",1,IF(J96&gt;0,(J96/100)+1,(100/((-1)*J96))+1)))*(IF(K96="",1,IF(K96&gt;0,(K96/100)+1,(100/((-1)*K96))+1)))*(IF(L96="",1,IF(L96&gt;0,(L96/100)+1,(100/((-1)*L96))+1))))-1)),((((IF(C96="",1,IF(C96&gt;0,(C96/100)+1,(100/((-1)*C96))+1)))*(IF(D96="",1,IF(D96&gt;0,(D96/100)+1,(100/((-1)*D96))+1)))*(IF(E96="",1,IF(E96&gt;0,(E96/100)+1,(100/((-1)*E96))+1)))*(IF(F96="",1,IF(F96&gt;0,(F96/100)+1,(100/((-1)*F96))+1)))*(IF(G96="",1,IF(G96&gt;0,(G96/100)+1,(100/((-1)*G96))+1)))*(IF(H96="",1,IF(H96&gt;0,(H96/100)+1,(100/((-1)*H96))+1)))*(IF(I96="",1,IF(I96&gt;0,(I96/100)+1,(100/((-1)*I96))+1)))*(IF(J96="",1,IF(J96&gt;0,(J96/100)+1,(100/((-1)*J96))+1)))*(IF(K96="",1,IF(K96&gt;0,(K96/100)+1,(100/((-1)*K96))+1)))*(IF(L96="",1,IF(L96&gt;0,(L96/100)+1,(100/((-1)*L96))+1))))-1)*(100))))/100)*10)))</f>
        <v>6083.869593</v>
      </c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 ht="16.5" customHeight="1">
      <c r="A97" s="3" t="s">
        <v>37</v>
      </c>
      <c r="B97" s="2"/>
      <c r="C97" s="5" t="s">
        <v>468</v>
      </c>
      <c r="D97" s="5" t="s">
        <v>469</v>
      </c>
      <c r="E97" s="5" t="s">
        <v>343</v>
      </c>
      <c r="F97" s="5" t="s">
        <v>470</v>
      </c>
      <c r="G97" s="5" t="s">
        <v>121</v>
      </c>
      <c r="H97" s="5" t="s">
        <v>471</v>
      </c>
      <c r="I97" s="5" t="s">
        <v>472</v>
      </c>
      <c r="J97" s="5" t="s">
        <v>473</v>
      </c>
      <c r="K97" s="5" t="s">
        <v>474</v>
      </c>
      <c r="L97" s="5" t="s">
        <v>475</v>
      </c>
      <c r="M97" s="2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 ht="16.5" customHeight="1">
      <c r="A98" s="3" t="s">
        <v>48</v>
      </c>
      <c r="B98" s="2"/>
      <c r="C98" s="11">
        <v>45571.0</v>
      </c>
      <c r="D98" s="5" t="s">
        <v>476</v>
      </c>
      <c r="E98" s="5" t="s">
        <v>477</v>
      </c>
      <c r="F98" s="5" t="s">
        <v>478</v>
      </c>
      <c r="G98" s="5" t="s">
        <v>73</v>
      </c>
      <c r="H98" s="5" t="s">
        <v>479</v>
      </c>
      <c r="I98" s="5" t="s">
        <v>480</v>
      </c>
      <c r="J98" s="5" t="s">
        <v>481</v>
      </c>
      <c r="K98" s="5" t="s">
        <v>482</v>
      </c>
      <c r="L98" s="5" t="s">
        <v>483</v>
      </c>
      <c r="M98" s="2"/>
      <c r="N98" s="4"/>
      <c r="O98" s="3" t="s">
        <v>56</v>
      </c>
      <c r="P98" s="3" t="s">
        <v>57</v>
      </c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 ht="16.5" customHeight="1">
      <c r="A99" s="3" t="s">
        <v>59</v>
      </c>
      <c r="B99" s="2"/>
      <c r="C99" s="5" t="s">
        <v>62</v>
      </c>
      <c r="D99" s="5" t="s">
        <v>60</v>
      </c>
      <c r="E99" s="5" t="s">
        <v>62</v>
      </c>
      <c r="F99" s="5" t="s">
        <v>62</v>
      </c>
      <c r="G99" s="5" t="s">
        <v>60</v>
      </c>
      <c r="H99" s="5" t="s">
        <v>60</v>
      </c>
      <c r="I99" s="5" t="s">
        <v>60</v>
      </c>
      <c r="J99" s="5" t="s">
        <v>60</v>
      </c>
      <c r="K99" s="5" t="s">
        <v>62</v>
      </c>
      <c r="L99" s="5" t="s">
        <v>60</v>
      </c>
      <c r="M99" s="2"/>
      <c r="N99" s="3" t="s">
        <v>65</v>
      </c>
      <c r="O99" s="12" t="str">
        <f>IFERROR(__xludf.DUMMYFUNCTION("IF(OR(COUNTA(C96:L96) = 0, COUNTA(C99:L99) = 0), """", IFERROR(TEXTJOIN("", "", TRUE, FILTER(C93:L93, (C99:L99 = ""W"") * (C96:L96 = MAX(FILTER(C96:L96, C99:L99 = ""W""))))), """"))"),"Trey")</f>
        <v>Trey</v>
      </c>
      <c r="P99" s="12" t="str">
        <f>IFERROR(__xludf.DUMMYFUNCTION("IF(COUNTA(C104:L104) = 0, """", IFERROR(TEXTJOIN("", "", TRUE, FILTER(C93:L93, C104:L104 = MAX(C104:L104))), """"))"),"Clayton")</f>
        <v>Clayton</v>
      </c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 ht="16.5" customHeight="1">
      <c r="A100" s="1" t="s">
        <v>81</v>
      </c>
      <c r="B100" s="2"/>
      <c r="C100" s="4">
        <f t="shared" ref="C100:L100" si="29">IF(OR(C96="",C99=""),"",C87+COUNTIF(C99,"W"))</f>
        <v>5</v>
      </c>
      <c r="D100" s="4">
        <f t="shared" si="29"/>
        <v>6</v>
      </c>
      <c r="E100" s="4">
        <f t="shared" si="29"/>
        <v>6</v>
      </c>
      <c r="F100" s="4">
        <f t="shared" si="29"/>
        <v>6</v>
      </c>
      <c r="G100" s="4">
        <f t="shared" si="29"/>
        <v>4</v>
      </c>
      <c r="H100" s="4">
        <f t="shared" si="29"/>
        <v>6</v>
      </c>
      <c r="I100" s="4">
        <f t="shared" si="29"/>
        <v>4</v>
      </c>
      <c r="J100" s="4">
        <f t="shared" si="29"/>
        <v>5</v>
      </c>
      <c r="K100" s="4">
        <f t="shared" si="29"/>
        <v>2</v>
      </c>
      <c r="L100" s="4">
        <f t="shared" si="29"/>
        <v>6</v>
      </c>
      <c r="M100" s="2"/>
      <c r="N100" s="3" t="s">
        <v>82</v>
      </c>
      <c r="O100" s="4" t="str">
        <f>IFERROR(__xludf.DUMMYFUNCTION("IF(OR(COUNTA(C96:L96) = 0, COUNTA(C99:L99) = 0), """", IFERROR(TEXTJOIN("", "", TRUE, FILTER(C93:L93, (C99:L99 = ""L"") * (C96:L96 = MIN(FILTER(C96:L96, C99:L99 = ""L""))))), """"))"),"Austin, Dan, Taylon")</f>
        <v>Austin, Dan, Taylon</v>
      </c>
      <c r="P100" s="12" t="str">
        <f>IFERROR(__xludf.DUMMYFUNCTION("IF(COUNTA(C104:L104) = 0, """", IFERROR(TEXTJOIN("", "", TRUE, FILTER(C93:L93, C104:L104 = MIN(C104:L104))), """"))"),"Taylon")</f>
        <v>Taylon</v>
      </c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 ht="16.5" customHeight="1">
      <c r="A101" s="1" t="s">
        <v>83</v>
      </c>
      <c r="B101" s="2"/>
      <c r="C101" s="27">
        <f t="shared" ref="C101:L101" si="30">IF(OR(C96="",C99=""),"",C88+COUNTIF(C99,"L"))</f>
        <v>3</v>
      </c>
      <c r="D101" s="27">
        <f t="shared" si="30"/>
        <v>2</v>
      </c>
      <c r="E101" s="27">
        <f t="shared" si="30"/>
        <v>2</v>
      </c>
      <c r="F101" s="27">
        <f t="shared" si="30"/>
        <v>2</v>
      </c>
      <c r="G101" s="27">
        <f t="shared" si="30"/>
        <v>4</v>
      </c>
      <c r="H101" s="27">
        <f t="shared" si="30"/>
        <v>2</v>
      </c>
      <c r="I101" s="27">
        <f t="shared" si="30"/>
        <v>4</v>
      </c>
      <c r="J101" s="27">
        <f t="shared" si="30"/>
        <v>3</v>
      </c>
      <c r="K101" s="27">
        <f t="shared" si="30"/>
        <v>6</v>
      </c>
      <c r="L101" s="27">
        <f t="shared" si="30"/>
        <v>2</v>
      </c>
      <c r="M101" s="2"/>
      <c r="N101" s="3" t="s">
        <v>84</v>
      </c>
      <c r="O101" s="12" t="str">
        <f>IFERROR(__xludf.DUMMYFUNCTION("IF(COUNTA(C96:L96) = 0, """", IFERROR(TEXTJOIN("", "", TRUE, FILTER(C93:L93, C96:L96 = MAX(C96:L96))), """"))"),"Trey")</f>
        <v>Trey</v>
      </c>
      <c r="P101" s="4" t="str">
        <f>IFERROR(__xludf.DUMMYFUNCTION("IF(COUNTA(C96:L96) = 0, """", IFERROR(TEXTJOIN("", "", TRUE, FILTER(C93:L93, C103:L103 = MAX(C103:L103))), """"))"),"Jake")</f>
        <v>Jake</v>
      </c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 ht="16.5" customHeight="1">
      <c r="A102" s="3" t="s">
        <v>85</v>
      </c>
      <c r="B102" s="2"/>
      <c r="C102" s="24">
        <f t="shared" ref="C102:L102" si="31">IF(OR(C96="",C99=""),"",(C100/(C100+C101)))</f>
        <v>0.625</v>
      </c>
      <c r="D102" s="24">
        <f t="shared" si="31"/>
        <v>0.75</v>
      </c>
      <c r="E102" s="24">
        <f t="shared" si="31"/>
        <v>0.75</v>
      </c>
      <c r="F102" s="24">
        <f t="shared" si="31"/>
        <v>0.75</v>
      </c>
      <c r="G102" s="24">
        <f t="shared" si="31"/>
        <v>0.5</v>
      </c>
      <c r="H102" s="24">
        <f t="shared" si="31"/>
        <v>0.75</v>
      </c>
      <c r="I102" s="24">
        <f t="shared" si="31"/>
        <v>0.5</v>
      </c>
      <c r="J102" s="24">
        <f t="shared" si="31"/>
        <v>0.625</v>
      </c>
      <c r="K102" s="24">
        <f t="shared" si="31"/>
        <v>0.25</v>
      </c>
      <c r="L102" s="24">
        <f t="shared" si="31"/>
        <v>0.75</v>
      </c>
      <c r="M102" s="14"/>
      <c r="N102" s="3" t="s">
        <v>86</v>
      </c>
      <c r="O102" s="4" t="str">
        <f>IFERROR(__xludf.DUMMYFUNCTION("IF(COUNTA(C96:L96) = 0, """", IFERROR(TEXTJOIN("", "", TRUE, FILTER(C93:L93, C96:L96 = MIN(C96:L96))), """"))"),"Hunter")</f>
        <v>Hunter</v>
      </c>
      <c r="P102" s="4" t="str">
        <f>IFERROR(__xludf.DUMMYFUNCTION("IF(COUNTA(C96:L96) = 0, """", IFERROR(TEXTJOIN("", "", TRUE, FILTER(C93:L93, C103:L103 = MIN(C103:L103))), """"))"),"Carson")</f>
        <v>Carson</v>
      </c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 ht="16.5" customHeight="1">
      <c r="A103" s="3" t="s">
        <v>87</v>
      </c>
      <c r="B103" s="2"/>
      <c r="C103" s="25">
        <f t="shared" ref="C103:L103" si="32">IF(C96="","",IF(((IF(C96 &lt;0,((-100/C96)+1),((C96/100)+1))+(IF(C90&lt;0,((-100/C90)+1),((C90/100)+1)))*(C87+C88))/(C87+C88+1))&lt;2,(-100/(((IF(C96 &lt;0,((-100/C96)+1),((C96/100)+1))+(IF(C90&lt;0,((-100/C90)+1),((C90/100)+1)))*(C87+C88))/(C87+C88+1))-1)),(((IF(C96 &lt;0,((-100/C96)+1),((C96/100)+1))+(IF(C90&lt;0,((-100/C90)+1),((C90/100)+1)))*(C87+C88))/(C87+C88+1))-1)*100))</f>
        <v>-123.7161011</v>
      </c>
      <c r="D103" s="25">
        <f t="shared" si="32"/>
        <v>-133.0212951</v>
      </c>
      <c r="E103" s="25">
        <f t="shared" si="32"/>
        <v>-105.5557837</v>
      </c>
      <c r="F103" s="25">
        <f t="shared" si="32"/>
        <v>-130.6500868</v>
      </c>
      <c r="G103" s="25">
        <f t="shared" si="32"/>
        <v>-104.7164068</v>
      </c>
      <c r="H103" s="25">
        <f t="shared" si="32"/>
        <v>-100.8502013</v>
      </c>
      <c r="I103" s="25">
        <f t="shared" si="32"/>
        <v>-129.1526943</v>
      </c>
      <c r="J103" s="25">
        <f t="shared" si="32"/>
        <v>-104.1622864</v>
      </c>
      <c r="K103" s="25">
        <f t="shared" si="32"/>
        <v>-113.207294</v>
      </c>
      <c r="L103" s="25">
        <f t="shared" si="32"/>
        <v>-109.7022292</v>
      </c>
      <c r="M103" s="14"/>
      <c r="N103" s="4"/>
      <c r="O103" s="12"/>
      <c r="P103" s="12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>
      <c r="A104" s="16" t="s">
        <v>88</v>
      </c>
      <c r="B104" s="2"/>
      <c r="C104" s="26">
        <f>IFERROR(__xludf.DUMMYFUNCTION("IF(OR(C96="""",C99=""""),"""",IF(REGEXMATCH(C99,""W""),IF(C96&lt;0,((-100/C96))*10+C91,((C96/100)*10+C91)),-10+C91))"),4.835192619924177)</f>
        <v>4.83519262</v>
      </c>
      <c r="D104" s="26">
        <f>IFERROR(__xludf.DUMMYFUNCTION("IF(OR(D96="""",D99=""""),"""",IF(REGEXMATCH(D99,""W""),IF(D96&lt;0,((-100/D96))*10+D91,((D96/100)*10+D91)),-10+D91))"),22.73333918218828)</f>
        <v>22.73333918</v>
      </c>
      <c r="E104" s="26">
        <f>IFERROR(__xludf.DUMMYFUNCTION("IF(OR(E96="""",E99=""""),"""",IF(REGEXMATCH(E99,""W""),IF(E96&lt;0,((-100/E96))*10+E91,((E96/100)*10+E91)),-10+E91))"),36.78030086370348)</f>
        <v>36.78030086</v>
      </c>
      <c r="F104" s="26">
        <f>IFERROR(__xludf.DUMMYFUNCTION("IF(OR(F96="""",F99=""""),"""",IF(REGEXMATCH(F99,""W""),IF(F96&lt;0,((-100/F96))*10+F91,((F96/100)*10+F91)),-10+F91))"),22.698926004773085)</f>
        <v>22.698926</v>
      </c>
      <c r="G104" s="26">
        <f>IFERROR(__xludf.DUMMYFUNCTION("IF(OR(G96="""",G99=""""),"""",IF(REGEXMATCH(G99,""W""),IF(G96&lt;0,((-100/G96))*10+G91,((G96/100)*10+G91)),-10+G91))"),-12.03076256129021)</f>
        <v>-12.03076256</v>
      </c>
      <c r="H104" s="26">
        <f>IFERROR(__xludf.DUMMYFUNCTION("IF(OR(H96="""",H99=""""),"""",IF(REGEXMATCH(H99,""W""),IF(H96&lt;0,((-100/H96))*10+H91,((H96/100)*10+H91)),-10+H91))"),35.801763401309024)</f>
        <v>35.8017634</v>
      </c>
      <c r="I104" s="26">
        <f>IFERROR(__xludf.DUMMYFUNCTION("IF(OR(I96="""",I99=""""),"""",IF(REGEXMATCH(I99,""W""),IF(I96&lt;0,((-100/I96))*10+I91,((I96/100)*10+I91)),-10+I91))"),-14.975920916202739)</f>
        <v>-14.97592092</v>
      </c>
      <c r="J104" s="26">
        <f>IFERROR(__xludf.DUMMYFUNCTION("IF(OR(J96="""",J99=""""),"""",IF(REGEXMATCH(J99,""W""),IF(J96&lt;0,((-100/J96))*10+J91,((J96/100)*10+J91)),-10+J91))"),20.2997150997151)</f>
        <v>20.2997151</v>
      </c>
      <c r="K104" s="26">
        <f>IFERROR(__xludf.DUMMYFUNCTION("IF(OR(K96="""",K99=""""),"""",IF(REGEXMATCH(K99,""W""),IF(K96&lt;0,((-100/K96))*10+K91,((K96/100)*10+K91)),-10+K91))"),-39.725984251968505)</f>
        <v>-39.72598425</v>
      </c>
      <c r="L104" s="26">
        <f>IFERROR(__xludf.DUMMYFUNCTION("IF(OR(L96="""",L99=""""),"""",IF(REGEXMATCH(L99,""W""),IF(L96&lt;0,((-100/L96))*10+L91,((L96/100)*10+L91)),-10+L91))"),36.253382797798714)</f>
        <v>36.2533828</v>
      </c>
      <c r="M104" s="14"/>
      <c r="N104" s="16" t="s">
        <v>89</v>
      </c>
      <c r="O104" s="10">
        <f>IFERROR(__xludf.DUMMYFUNCTION("IF(AND(C104="""",AND(D104="""",AND(E104="""",AND(F104="""",AND(G104="""",AND(H104="""",AND(I104="""",AND(J104="""",AND(K104="""",L104=""""))))))))),"""",(IF(C99="""",0,IF(REGEXMATCH(C99,""W""),IF(C96&lt;0,((-100/C96))*10,((C96/100)*10)),-10))+IF(D99="""",0,I"&amp;"F(REGEXMATCH(D99,""W""),IF(D96&lt;0,((-100/D96))*10,((D96/100)*10)),-10))+IF(E99="""",0,IF(REGEXMATCH(E99,""W""),IF(E96&lt;0,((-100/E96))*10,((E96/100)*10)),-10))+IF(F99="""",0,IF(REGEXMATCH(F99,""W""),IF(F96&lt;0,((-100/F96))*10,((F96/100)*10)),-10))+IF(G99="""","&amp;"0,IF(REGEXMATCH(G99,""W""),IF(G96&lt;0,((-100/G96))*10,((G96/100)*10)),-10))+IF(H99="""",0,IF(REGEXMATCH(H99,""W""),IF(H96&lt;0,((-100/H96))*10,((H96/100)*10)),-10))+IF(I99="""",0,IF(REGEXMATCH(I99,""W""),IF(I96&lt;0,((-100/I96))*10,((I96/100)*10)),-10))+IF(J99="""&amp;""",0,IF(REGEXMATCH(J99,""W""),IF(J96&lt;0,((-100/J96))*10,((J96/100)*10)),-10))+IF(K99="""",0,IF(REGEXMATCH(K99,""W""),IF(K96&lt;0,((-100/K96))*10,((K96/100)*10)),-10))+IF(L99="""",0,IF(REGEXMATCH(L99,""W""),IF(L96&lt;0,((-100/L96))*10,((L96/100)*10)),-10))))"),18.434968873301493)</f>
        <v>18.43496887</v>
      </c>
      <c r="P104" s="10">
        <f>IFERROR(__xludf.DUMMYFUNCTION("IF(AND(C104="""",AND(D104="""",AND(E104="""",AND(F104="""",AND(G104="""",AND(H104="""",AND(I104="""",AND(J104="""",AND(K104="""",L104=""""))))))))),"""",(P91+IF(C99="""",0,IF(REGEXMATCH(C99,""W""),IF(C96&lt;0,((-100/C96))*10,((C96/100)*10)),-10))+IF(D99="""""&amp;",0,IF(REGEXMATCH(D99,""W""),IF(D96&lt;0,((-100/D96))*10,((D96/100)*10)),-10))+IF(E99="""",0,IF(REGEXMATCH(E99,""W""),IF(E96&lt;0,((-100/E96))*10,((E96/100)*10)),-10))+IF(F99="""",0,IF(REGEXMATCH(F99,""W""),IF(F96&lt;0,((-100/F96))*10,((F96/100)*10)),-10))+IF(G99="&amp;""""",0,IF(REGEXMATCH(G99,""W""),IF(G96&lt;0,((-100/G96))*10,((G96/100)*10)),-10))+IF(H99="""",0,IF(REGEXMATCH(H99,""W""),IF(H96&lt;0,((-100/H96))*10,((H96/100)*10)),-10))+IF(I99="""",0,IF(REGEXMATCH(I99,""W""),IF(I96&lt;0,((-100/I96))*10,((I96/100)*10)),-10))+IF(J"&amp;"99="""",0,IF(REGEXMATCH(J99,""W""),IF(J96&lt;0,((-100/J96))*10,((J96/100)*10)),-10))+IF(K99="""",0,IF(REGEXMATCH(K99,""W""),IF(K96&lt;0,((-100/K96))*10,((K96/100)*10)),-10))+IF(L99="""",0,IF(REGEXMATCH(L99,""W""),IF(L96&lt;0,((-100/L96))*10,((L96/100)*10)),-10))))"),112.66995223995038)</f>
        <v>112.6699522</v>
      </c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 ht="16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 ht="16.5" customHeight="1">
      <c r="A106" s="1" t="s">
        <v>502</v>
      </c>
      <c r="B106" s="2"/>
      <c r="C106" s="3" t="s">
        <v>1</v>
      </c>
      <c r="D106" s="3" t="s">
        <v>2</v>
      </c>
      <c r="E106" s="3" t="s">
        <v>3</v>
      </c>
      <c r="F106" s="3" t="s">
        <v>4</v>
      </c>
      <c r="G106" s="3" t="s">
        <v>5</v>
      </c>
      <c r="H106" s="3" t="s">
        <v>6</v>
      </c>
      <c r="I106" s="3" t="s">
        <v>7</v>
      </c>
      <c r="J106" s="3" t="s">
        <v>8</v>
      </c>
      <c r="K106" s="3" t="s">
        <v>9</v>
      </c>
      <c r="L106" s="3" t="s">
        <v>10</v>
      </c>
      <c r="M106" s="2"/>
      <c r="N106" s="4"/>
      <c r="O106" s="3" t="s">
        <v>11</v>
      </c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 ht="16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 ht="16.5" customHeight="1">
      <c r="A108" s="3" t="s">
        <v>12</v>
      </c>
      <c r="B108" s="2"/>
      <c r="C108" s="5" t="s">
        <v>503</v>
      </c>
      <c r="D108" s="5" t="s">
        <v>504</v>
      </c>
      <c r="E108" s="5" t="s">
        <v>99</v>
      </c>
      <c r="F108" s="5" t="s">
        <v>505</v>
      </c>
      <c r="G108" s="5" t="s">
        <v>361</v>
      </c>
      <c r="H108" s="5" t="s">
        <v>506</v>
      </c>
      <c r="I108" s="5" t="s">
        <v>507</v>
      </c>
      <c r="J108" s="5" t="s">
        <v>162</v>
      </c>
      <c r="K108" s="5" t="s">
        <v>508</v>
      </c>
      <c r="L108" s="5" t="s">
        <v>509</v>
      </c>
      <c r="M108" s="2"/>
      <c r="N108" s="3" t="s">
        <v>13</v>
      </c>
      <c r="O108" s="7">
        <f>IF(AND(C109="",AND(D109="",AND(E109="",AND(F109="",AND(G109="",AND(H109="",AND(I109="",AND(J109="",AND(K109="",L109=""))))))))),"",IF(((IF(C109="",1,IF(C109&gt;0,(C109/100)+1,(100/((-1)*C109))+1)))*(IF(D109="",1,IF(D109&gt;0,(D109/100)+1,(100/((-1)*D109))+1)))*(IF(E109="",1,IF(E109&gt;0,(E109/100)+1,(100/((-1)*E109))+1)))*(IF(F109="",1,IF(F109&gt;0,(F109/100)+1,(100/((-1)*F109))+1)))*(IF(G109="",1,IF(G109&gt;0,(G109/100)+1,(100/((-1)*G109))+1)))*(IF(H109="",1,IF(H109&gt;0,(H109/100)+1,(100/((-1)*H109))+1)))*(IF(I109="",1,IF(I109&gt;0,(I109/100)+1,(100/((-1)*I109))+1)))*(IF(J109="",1,IF(J109&gt;0,(J109/100)+1,(100/((-1)*J109))+1)))*(IF(K109="",1,IF(K109&gt;0,(K109/100)+1,(100/((-1)*K109))+1)))*(IF(L109="",1,IF(L109&gt;0,(L109/100)+1,(100/((-1)*L109))+1))))&lt;2,((-100)/(((IF(C109="",1,IF(C109&gt;0,(C109/100)+1,(100/((-1)*C109))+1)))*(IF(D109="",1,IF(D109&gt;0,(D109/100)+1,(100/((-1)*D109))+1)))*(IF(E109="",1,IF(E109&gt;0,(E109/100)+1,(100/((-1)*E109))+1)))*(IF(F109="",1,IF(F109&gt;0,(F109/100)+1,(100/((-1)*F109))+1)))*(IF(G109="",1,IF(G109&gt;0,(G109/100)+1,(100/((-1)*G109))+1)))*(IF(H109="",1,IF(H109&gt;0,(H109/100)+1,(100/((-1)*H109))+1)))*(IF(I109="",1,IF(I109&gt;0,(I109/100)+1,(100/((-1)*I109))+1)))*(IF(J109="",1,IF(J109&gt;0,(J109/100)+1,(100/((-1)*J109))+1)))*(IF(K109="",1,IF(K109&gt;0,(K109/100)+1,(100/((-1)*K109))+1)))*(IF(L109="",1,IF(L109&gt;0,(L109/100)+1,(100/((-1)*L109))+1))))-1)),((((IF(C109="",1,IF(C109&gt;0,(C109/100)+1,(100/((-1)*C109))+1)))*(IF(D109="",1,IF(D109&gt;0,(D109/100)+1,(100/((-1)*D109))+1)))*(IF(E109="",1,IF(E109&gt;0,(E109/100)+1,(100/((-1)*E109))+1)))*(IF(F109="",1,IF(F109&gt;0,(F109/100)+1,(100/((-1)*F109))+1)))*(IF(G109="",1,IF(G109&gt;0,(G109/100)+1,(100/((-1)*G109))+1)))*(IF(H109="",1,IF(H109&gt;0,(H109/100)+1,(100/((-1)*H109))+1)))*(IF(I109="",1,IF(I109&gt;0,(I109/100)+1,(100/((-1)*I109))+1)))*(IF(J109="",1,IF(J109&gt;0,(J109/100)+1,(100/((-1)*J109))+1)))*(IF(K109="",1,IF(K109&gt;0,(K109/100)+1,(100/((-1)*K109))+1)))*(IF(L109="",1,IF(L109&gt;0,(L109/100)+1,(100/((-1)*L109))+1))))-1)*(100))))</f>
        <v>62676.2214</v>
      </c>
      <c r="P108" s="4"/>
      <c r="Q108" s="8" t="s">
        <v>35</v>
      </c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 ht="16.5" customHeight="1">
      <c r="A109" s="3" t="s">
        <v>13</v>
      </c>
      <c r="B109" s="2"/>
      <c r="C109" s="5">
        <v>143.0</v>
      </c>
      <c r="D109" s="5">
        <v>-115.0</v>
      </c>
      <c r="E109" s="5">
        <v>-159.0</v>
      </c>
      <c r="F109" s="5">
        <v>112.0</v>
      </c>
      <c r="G109" s="5">
        <v>115.0</v>
      </c>
      <c r="H109" s="5">
        <v>-130.0</v>
      </c>
      <c r="I109" s="5">
        <v>-204.0</v>
      </c>
      <c r="J109" s="5">
        <v>-145.0</v>
      </c>
      <c r="K109" s="5">
        <v>-135.0</v>
      </c>
      <c r="L109" s="5">
        <v>140.0</v>
      </c>
      <c r="M109" s="2">
        <v>8.0</v>
      </c>
      <c r="N109" s="3" t="s">
        <v>36</v>
      </c>
      <c r="O109" s="10">
        <f>IF(AND(C109="",AND(D109="",AND(E109="",AND(F109="",AND(G109="",AND(H109="",AND(I109="",AND(J109="",AND(K109="",L109=""))))))))),"",10+IF((IF(((IF(C109="",1,IF(C109&gt;0,(C109/100)+1,(100/((-1)*C109))+1)))*(IF(D109="",1,IF(D109&gt;0,(D109/100)+1,(100/((-1)*D109))+1)))*(IF(E109="",1,IF(E109&gt;0,(E109/100)+1,(100/((-1)*E109))+1)))*(IF(F109="",1,IF(F109&gt;0,(F109/100)+1,(100/((-1)*F109))+1)))*(IF(G109="",1,IF(G109&gt;0,(G109/100)+1,(100/((-1)*G109))+1)))*(IF(H109="",1,IF(H109&gt;0,(H109/100)+1,(100/((-1)*H109))+1)))*(IF(I109="",1,IF(I109&gt;0,(I109/100)+1,(100/((-1)*I109))+1)))*(IF(J109="",1,IF(J109&gt;0,(J109/100)+1,(100/((-1)*J109))+1)))*(IF(K109="",1,IF(K109&gt;0,(K109/100)+1,(100/((-1)*K109))+1)))*(IF(L109="",1,IF(L109&gt;0,(L109/100)+1,(100/((-1)*L109))+1))))&lt;2,((-100)/(((IF(C109="",1,IF(C109&gt;0,(C109/100)+1,(100/((-1)*C109))+1)))*(IF(D109="",1,IF(D109&gt;0,(D109/100)+1,(100/((-1)*D109))+1)))*(IF(E109="",1,IF(E109&gt;0,(E109/100)+1,(100/((-1)*E109))+1)))*(IF(F109="",1,IF(F109&gt;0,(F109/100)+1,(100/((-1)*F109))+1)))*(IF(G109="",1,IF(G109&gt;0,(G109/100)+1,(100/((-1)*G109))+1)))*(IF(H109="",1,IF(H109&gt;0,(H109/100)+1,(100/((-1)*H109))+1)))*(IF(I109="",1,IF(I109&gt;0,(I109/100)+1,(100/((-1)*I109))+1)))*(IF(J109="",1,IF(J109&gt;0,(J109/100)+1,(100/((-1)*J109))+1)))*(IF(K109="",1,IF(K109&gt;0,(K109/100)+1,(100/((-1)*K109))+1)))*(IF(L109="",1,IF(L109&gt;0,(L109/100)+1,(100/((-1)*L109))+1))))-1)),((((IF(C109="",1,IF(C109&gt;0,(C109/100)+1,(100/((-1)*C109))+1)))*(IF(D109="",1,IF(D109&gt;0,(D109/100)+1,(100/((-1)*D109))+1)))*(IF(E109="",1,IF(E109&gt;0,(E109/100)+1,(100/((-1)*E109))+1)))*(IF(F109="",1,IF(F109&gt;0,(F109/100)+1,(100/((-1)*F109))+1)))*(IF(G109="",1,IF(G109&gt;0,(G109/100)+1,(100/((-1)*G109))+1)))*(IF(H109="",1,IF(H109&gt;0,(H109/100)+1,(100/((-1)*H109))+1)))*(IF(I109="",1,IF(I109&gt;0,(I109/100)+1,(100/((-1)*I109))+1)))*(IF(J109="",1,IF(J109&gt;0,(J109/100)+1,(100/((-1)*J109))+1)))*(IF(K109="",1,IF(K109&gt;0,(K109/100)+1,(100/((-1)*K109))+1)))*(IF(L109="",1,IF(L109&gt;0,(L109/100)+1,(100/((-1)*L109))+1))))-1)*(100))))&lt;0,(((-100)/((IF(((IF(C109="",1,IF(C109&gt;0,(C109/100)+1,(100/((-1)*C109))+1)))*(IF(D109="",1,IF(D109&gt;0,(D109/100)+1,(100/((-1)*D109))+1)))*(IF(E109="",1,IF(E109&gt;0,(E109/100)+1,(100/((-1)*E109))+1)))*(IF(F109="",1,IF(F109&gt;0,(F109/100)+1,(100/((-1)*F109))+1)))*(IF(G109="",1,IF(G109&gt;0,(G109/100)+1,(100/((-1)*G109))+1)))*(IF(H109="",1,IF(H109&gt;0,(H109/100)+1,(100/((-1)*H109))+1)))*(IF(I109="",1,IF(I109&gt;0,(I109/100)+1,(100/((-1)*I109))+1)))*(IF(J109="",1,IF(J109&gt;0,(J109/100)+1,(100/((-1)*J109))+1)))*(IF(K109="",1,IF(K109&gt;0,(K109/100)+1,(100/((-1)*K109))+1)))*(IF(L109="",1,IF(L109&gt;0,(L109/100)+1,(100/((-1)*L109))+1))))&lt;2,((-100)/(((IF(C109="",1,IF(C109&gt;0,(C109/100)+1,(100/((-1)*C109))+1)))*(IF(D109="",1,IF(D109&gt;0,(D109/100)+1,(100/((-1)*D109))+1)))*(IF(E109="",1,IF(E109&gt;0,(E109/100)+1,(100/((-1)*E109))+1)))*(IF(F109="",1,IF(F109&gt;0,(F109/100)+1,(100/((-1)*F109))+1)))*(IF(G109="",1,IF(G109&gt;0,(G109/100)+1,(100/((-1)*G109))+1)))*(IF(H109="",1,IF(H109&gt;0,(H109/100)+1,(100/((-1)*H109))+1)))*(IF(I109="",1,IF(I109&gt;0,(I109/100)+1,(100/((-1)*I109))+1)))*(IF(J109="",1,IF(J109&gt;0,(J109/100)+1,(100/((-1)*J109))+1)))*(IF(K109="",1,IF(K109&gt;0,(K109/100)+1,(100/((-1)*K109))+1)))*(IF(L109="",1,IF(L109&gt;0,(L109/100)+1,(100/((-1)*L109))+1))))-1)),((((IF(C109="",1,IF(C109&gt;0,(C109/100)+1,(100/((-1)*C109))+1)))*(IF(D109="",1,IF(D109&gt;0,(D109/100)+1,(100/((-1)*D109))+1)))*(IF(E109="",1,IF(E109&gt;0,(E109/100)+1,(100/((-1)*E109))+1)))*(IF(F109="",1,IF(F109&gt;0,(F109/100)+1,(100/((-1)*F109))+1)))*(IF(G109="",1,IF(G109&gt;0,(G109/100)+1,(100/((-1)*G109))+1)))*(IF(H109="",1,IF(H109&gt;0,(H109/100)+1,(100/((-1)*H109))+1)))*(IF(I109="",1,IF(I109&gt;0,(I109/100)+1,(100/((-1)*I109))+1)))*(IF(J109="",1,IF(J109&gt;0,(J109/100)+1,(100/((-1)*J109))+1)))*(IF(K109="",1,IF(K109&gt;0,(K109/100)+1,(100/((-1)*K109))+1)))*(IF(L109="",1,IF(L109&gt;0,(L109/100)+1,(100/((-1)*L109))+1))))-1)*(100))))))*10),(((IF(((IF(C109="",1,IF(C109&gt;0,(C109/100)+1,(100/((-1)*C109))+1)))*(IF(D109="",1,IF(D109&gt;0,(D109/100)+1,(100/((-1)*D109))+1)))*(IF(E109="",1,IF(E109&gt;0,(E109/100)+1,(100/((-1)*E109))+1)))*(IF(F109="",1,IF(F109&gt;0,(F109/100)+1,(100/((-1)*F109))+1)))*(IF(G109="",1,IF(G109&gt;0,(G109/100)+1,(100/((-1)*G109))+1)))*(IF(H109="",1,IF(H109&gt;0,(H109/100)+1,(100/((-1)*H109))+1)))*(IF(I109="",1,IF(I109&gt;0,(I109/100)+1,(100/((-1)*I109))+1)))*(IF(J109="",1,IF(J109&gt;0,(J109/100)+1,(100/((-1)*J109))+1)))*(IF(K109="",1,IF(K109&gt;0,(K109/100)+1,(100/((-1)*K109))+1)))*(IF(L109="",1,IF(L109&gt;0,(L109/100)+1,(100/((-1)*L109))+1))))&lt;2,((-100)/(((IF(C109="",1,IF(C109&gt;0,(C109/100)+1,(100/((-1)*C109))+1)))*(IF(D109="",1,IF(D109&gt;0,(D109/100)+1,(100/((-1)*D109))+1)))*(IF(E109="",1,IF(E109&gt;0,(E109/100)+1,(100/((-1)*E109))+1)))*(IF(F109="",1,IF(F109&gt;0,(F109/100)+1,(100/((-1)*F109))+1)))*(IF(G109="",1,IF(G109&gt;0,(G109/100)+1,(100/((-1)*G109))+1)))*(IF(H109="",1,IF(H109&gt;0,(H109/100)+1,(100/((-1)*H109))+1)))*(IF(I109="",1,IF(I109&gt;0,(I109/100)+1,(100/((-1)*I109))+1)))*(IF(J109="",1,IF(J109&gt;0,(J109/100)+1,(100/((-1)*J109))+1)))*(IF(K109="",1,IF(K109&gt;0,(K109/100)+1,(100/((-1)*K109))+1)))*(IF(L109="",1,IF(L109&gt;0,(L109/100)+1,(100/((-1)*L109))+1))))-1)),((((IF(C109="",1,IF(C109&gt;0,(C109/100)+1,(100/((-1)*C109))+1)))*(IF(D109="",1,IF(D109&gt;0,(D109/100)+1,(100/((-1)*D109))+1)))*(IF(E109="",1,IF(E109&gt;0,(E109/100)+1,(100/((-1)*E109))+1)))*(IF(F109="",1,IF(F109&gt;0,(F109/100)+1,(100/((-1)*F109))+1)))*(IF(G109="",1,IF(G109&gt;0,(G109/100)+1,(100/((-1)*G109))+1)))*(IF(H109="",1,IF(H109&gt;0,(H109/100)+1,(100/((-1)*H109))+1)))*(IF(I109="",1,IF(I109&gt;0,(I109/100)+1,(100/((-1)*I109))+1)))*(IF(J109="",1,IF(J109&gt;0,(J109/100)+1,(100/((-1)*J109))+1)))*(IF(K109="",1,IF(K109&gt;0,(K109/100)+1,(100/((-1)*K109))+1)))*(IF(L109="",1,IF(L109&gt;0,(L109/100)+1,(100/((-1)*L109))+1))))-1)*(100))))/100)*10)))</f>
        <v>6277.62214</v>
      </c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 ht="16.5" customHeight="1">
      <c r="A110" s="3" t="s">
        <v>37</v>
      </c>
      <c r="B110" s="2"/>
      <c r="C110" s="5" t="s">
        <v>534</v>
      </c>
      <c r="D110" s="5" t="s">
        <v>535</v>
      </c>
      <c r="E110" s="5" t="s">
        <v>536</v>
      </c>
      <c r="F110" s="5" t="s">
        <v>537</v>
      </c>
      <c r="G110" s="5" t="s">
        <v>347</v>
      </c>
      <c r="H110" s="5" t="s">
        <v>538</v>
      </c>
      <c r="I110" s="5" t="s">
        <v>539</v>
      </c>
      <c r="J110" s="5" t="s">
        <v>540</v>
      </c>
      <c r="K110" s="5" t="s">
        <v>541</v>
      </c>
      <c r="L110" s="5" t="s">
        <v>542</v>
      </c>
      <c r="M110" s="2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 ht="16.5" customHeight="1">
      <c r="A111" s="3" t="s">
        <v>48</v>
      </c>
      <c r="B111" s="2"/>
      <c r="C111" s="5" t="s">
        <v>543</v>
      </c>
      <c r="D111" s="5" t="s">
        <v>544</v>
      </c>
      <c r="E111" s="5" t="s">
        <v>545</v>
      </c>
      <c r="F111" s="5" t="s">
        <v>73</v>
      </c>
      <c r="G111" s="5" t="s">
        <v>546</v>
      </c>
      <c r="H111" s="11">
        <v>45656.0</v>
      </c>
      <c r="I111" s="5" t="s">
        <v>547</v>
      </c>
      <c r="J111" s="5" t="s">
        <v>548</v>
      </c>
      <c r="K111" s="11">
        <v>45646.0</v>
      </c>
      <c r="L111" s="5" t="s">
        <v>73</v>
      </c>
      <c r="M111" s="2"/>
      <c r="N111" s="4"/>
      <c r="O111" s="3" t="s">
        <v>56</v>
      </c>
      <c r="P111" s="3" t="s">
        <v>57</v>
      </c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 ht="16.5" customHeight="1">
      <c r="A112" s="3" t="s">
        <v>59</v>
      </c>
      <c r="B112" s="2"/>
      <c r="C112" s="5" t="s">
        <v>60</v>
      </c>
      <c r="D112" s="5" t="s">
        <v>60</v>
      </c>
      <c r="E112" s="5" t="s">
        <v>62</v>
      </c>
      <c r="F112" s="5" t="s">
        <v>60</v>
      </c>
      <c r="G112" s="5" t="s">
        <v>60</v>
      </c>
      <c r="H112" s="5" t="s">
        <v>62</v>
      </c>
      <c r="I112" s="5" t="s">
        <v>62</v>
      </c>
      <c r="J112" s="5" t="s">
        <v>60</v>
      </c>
      <c r="K112" s="5" t="s">
        <v>62</v>
      </c>
      <c r="L112" s="5" t="s">
        <v>60</v>
      </c>
      <c r="M112" s="2"/>
      <c r="N112" s="3" t="s">
        <v>65</v>
      </c>
      <c r="O112" s="12" t="str">
        <f>IFERROR(__xludf.DUMMYFUNCTION("IF(OR(COUNTA(C109:L109) = 0, COUNTA(C112:L112) = 0), """", IFERROR(TEXTJOIN("", "", TRUE, FILTER(C106:L106, (C112:L112 = ""W"") * (C109:L109 = MAX(FILTER(C109:L109, C112:L112 = ""W""))))), """"))"),"Austin")</f>
        <v>Austin</v>
      </c>
      <c r="P112" s="12" t="str">
        <f>IFERROR(__xludf.DUMMYFUNCTION("IF(COUNTA(C117:L117) = 0, """", IFERROR(TEXTJOIN("", "", TRUE, FILTER(C106:L106, C117:L117 = MAX(C117:L117))), """"))"),"Trey")</f>
        <v>Trey</v>
      </c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 ht="16.5" customHeight="1">
      <c r="A113" s="1" t="s">
        <v>81</v>
      </c>
      <c r="B113" s="2"/>
      <c r="C113" s="4">
        <f t="shared" ref="C113:L113" si="33">IF(OR(C109="",C112=""),"",C100+COUNTIF(C112,"W"))</f>
        <v>6</v>
      </c>
      <c r="D113" s="4">
        <f t="shared" si="33"/>
        <v>7</v>
      </c>
      <c r="E113" s="4">
        <f t="shared" si="33"/>
        <v>6</v>
      </c>
      <c r="F113" s="4">
        <f t="shared" si="33"/>
        <v>7</v>
      </c>
      <c r="G113" s="4">
        <f t="shared" si="33"/>
        <v>5</v>
      </c>
      <c r="H113" s="4">
        <f t="shared" si="33"/>
        <v>6</v>
      </c>
      <c r="I113" s="4">
        <f t="shared" si="33"/>
        <v>4</v>
      </c>
      <c r="J113" s="4">
        <f t="shared" si="33"/>
        <v>6</v>
      </c>
      <c r="K113" s="4">
        <f t="shared" si="33"/>
        <v>2</v>
      </c>
      <c r="L113" s="4">
        <f t="shared" si="33"/>
        <v>7</v>
      </c>
      <c r="M113" s="2"/>
      <c r="N113" s="3" t="s">
        <v>82</v>
      </c>
      <c r="O113" s="4" t="str">
        <f>IFERROR(__xludf.DUMMYFUNCTION("IF(OR(COUNTA(C109:L109) = 0, COUNTA(C112:L112) = 0), """", IFERROR(TEXTJOIN("", "", TRUE, FILTER(C106:L106, (C112:L112 = ""L"") * (C109:L109 = MIN(FILTER(C109:L109, C112:L112 = ""L""))))), """"))"),"Nick")</f>
        <v>Nick</v>
      </c>
      <c r="P113" s="12" t="str">
        <f>IFERROR(__xludf.DUMMYFUNCTION("IF(COUNTA(C117:L117) = 0, """", IFERROR(TEXTJOIN("", "", TRUE, FILTER(C106:L106, C117:L117 = MIN(C117:L117))), """"))"),"Taylon")</f>
        <v>Taylon</v>
      </c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 ht="16.5" customHeight="1">
      <c r="A114" s="1" t="s">
        <v>83</v>
      </c>
      <c r="B114" s="2"/>
      <c r="C114" s="27">
        <f t="shared" ref="C114:L114" si="34">IF(OR(C109="",C112=""),"",C101+COUNTIF(C112,"L"))</f>
        <v>3</v>
      </c>
      <c r="D114" s="27">
        <f t="shared" si="34"/>
        <v>2</v>
      </c>
      <c r="E114" s="27">
        <f t="shared" si="34"/>
        <v>3</v>
      </c>
      <c r="F114" s="27">
        <f t="shared" si="34"/>
        <v>2</v>
      </c>
      <c r="G114" s="27">
        <f t="shared" si="34"/>
        <v>4</v>
      </c>
      <c r="H114" s="27">
        <f t="shared" si="34"/>
        <v>3</v>
      </c>
      <c r="I114" s="27">
        <f t="shared" si="34"/>
        <v>5</v>
      </c>
      <c r="J114" s="27">
        <f t="shared" si="34"/>
        <v>3</v>
      </c>
      <c r="K114" s="27">
        <f t="shared" si="34"/>
        <v>7</v>
      </c>
      <c r="L114" s="27">
        <f t="shared" si="34"/>
        <v>2</v>
      </c>
      <c r="M114" s="2"/>
      <c r="N114" s="3" t="s">
        <v>84</v>
      </c>
      <c r="O114" s="12" t="str">
        <f>IFERROR(__xludf.DUMMYFUNCTION("IF(COUNTA(C109:L109) = 0, """", IFERROR(TEXTJOIN("", "", TRUE, FILTER(C106:L106, C109:L109 = MAX(C109:L109))), """"))"),"Austin")</f>
        <v>Austin</v>
      </c>
      <c r="P114" s="4" t="str">
        <f>IFERROR(__xludf.DUMMYFUNCTION("IF(COUNTA(C109:L109) = 0, """", IFERROR(TEXTJOIN("", "", TRUE, FILTER(C106:L106, C116:L116 = MAX(C116:L116))), """"))"),"Hunter")</f>
        <v>Hunter</v>
      </c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 ht="16.5" customHeight="1">
      <c r="A115" s="3" t="s">
        <v>85</v>
      </c>
      <c r="B115" s="2"/>
      <c r="C115" s="24">
        <f t="shared" ref="C115:L115" si="35">IF(OR(C109="",C112=""),"",(C113/(C113+C114)))</f>
        <v>0.6666666667</v>
      </c>
      <c r="D115" s="24">
        <f t="shared" si="35"/>
        <v>0.7777777778</v>
      </c>
      <c r="E115" s="24">
        <f t="shared" si="35"/>
        <v>0.6666666667</v>
      </c>
      <c r="F115" s="24">
        <f t="shared" si="35"/>
        <v>0.7777777778</v>
      </c>
      <c r="G115" s="24">
        <f t="shared" si="35"/>
        <v>0.5555555556</v>
      </c>
      <c r="H115" s="24">
        <f t="shared" si="35"/>
        <v>0.6666666667</v>
      </c>
      <c r="I115" s="24">
        <f t="shared" si="35"/>
        <v>0.4444444444</v>
      </c>
      <c r="J115" s="24">
        <f t="shared" si="35"/>
        <v>0.6666666667</v>
      </c>
      <c r="K115" s="24">
        <f t="shared" si="35"/>
        <v>0.2222222222</v>
      </c>
      <c r="L115" s="24">
        <f t="shared" si="35"/>
        <v>0.7777777778</v>
      </c>
      <c r="M115" s="14"/>
      <c r="N115" s="3" t="s">
        <v>86</v>
      </c>
      <c r="O115" s="4" t="str">
        <f>IFERROR(__xludf.DUMMYFUNCTION("IF(COUNTA(C109:L109) = 0, """", IFERROR(TEXTJOIN("", "", TRUE, FILTER(C106:L106, C109:L109 = MIN(C109:L109))), """"))"),"Nick")</f>
        <v>Nick</v>
      </c>
      <c r="P115" s="4" t="str">
        <f>IFERROR(__xludf.DUMMYFUNCTION("IF(COUNTA(C109:L109) = 0, """", IFERROR(TEXTJOIN("", "", TRUE, FILTER(C106:L106, C116:L116 = MIN(C116:L116))), """"))"),"Nick")</f>
        <v>Nick</v>
      </c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 ht="16.5" customHeight="1">
      <c r="A116" s="3" t="s">
        <v>87</v>
      </c>
      <c r="B116" s="2"/>
      <c r="C116" s="25">
        <f t="shared" ref="C116:L116" si="36">IF(C109="","",IF(((IF(C109 &lt;0,((-100/C109)+1),((C109/100)+1))+(IF(C103&lt;0,((-100/C103)+1),((C103/100)+1)))*(C100+C101))/(C100+C101+1))&lt;2,(-100/(((IF(C109 &lt;0,((-100/C109)+1),((C109/100)+1))+(IF(C103&lt;0,((-100/C103)+1),((C103/100)+1)))*(C100+C101))/(C100+C101+1))-1)),(((IF(C109 &lt;0,((-100/C109)+1),((C109/100)+1))+(IF(C103&lt;0,((-100/C103)+1),((C103/100)+1)))*(C100+C101))/(C100+C101+1))-1)*100))</f>
        <v>-113.975732</v>
      </c>
      <c r="D116" s="25">
        <f t="shared" si="36"/>
        <v>-130.7447827</v>
      </c>
      <c r="E116" s="25">
        <f t="shared" si="36"/>
        <v>-109.650969</v>
      </c>
      <c r="F116" s="25">
        <f t="shared" si="36"/>
        <v>-124.2540283</v>
      </c>
      <c r="G116" s="25">
        <f t="shared" si="36"/>
        <v>-102.3927882</v>
      </c>
      <c r="H116" s="25">
        <f t="shared" si="36"/>
        <v>-103.4270191</v>
      </c>
      <c r="I116" s="25">
        <f t="shared" si="36"/>
        <v>-134.6415604</v>
      </c>
      <c r="J116" s="25">
        <f t="shared" si="36"/>
        <v>-107.5271626</v>
      </c>
      <c r="K116" s="25">
        <f t="shared" si="36"/>
        <v>-115.274909</v>
      </c>
      <c r="L116" s="25">
        <f t="shared" si="36"/>
        <v>-103.5379131</v>
      </c>
      <c r="M116" s="14"/>
      <c r="N116" s="4"/>
      <c r="O116" s="12"/>
      <c r="P116" s="12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>
      <c r="A117" s="16" t="s">
        <v>88</v>
      </c>
      <c r="B117" s="2"/>
      <c r="C117" s="26">
        <f>IFERROR(__xludf.DUMMYFUNCTION("IF(OR(C109="""",C112=""""),"""",IF(REGEXMATCH(C112,""W""),IF(C109&lt;0,((-100/C109))*10+C104,((C109/100)*10+C104)),-10+C104))"),19.135192619924176)</f>
        <v>19.13519262</v>
      </c>
      <c r="D117" s="26">
        <f>IFERROR(__xludf.DUMMYFUNCTION("IF(OR(D109="""",D112=""""),"""",IF(REGEXMATCH(D112,""W""),IF(D109&lt;0,((-100/D109))*10+D104,((D109/100)*10+D104)),-10+D104))"),31.428991356101324)</f>
        <v>31.42899136</v>
      </c>
      <c r="E117" s="26">
        <f>IFERROR(__xludf.DUMMYFUNCTION("IF(OR(E109="""",E112=""""),"""",IF(REGEXMATCH(E112,""W""),IF(E109&lt;0,((-100/E109))*10+E104,((E109/100)*10+E104)),-10+E104))"),26.78030086370348)</f>
        <v>26.78030086</v>
      </c>
      <c r="F117" s="26">
        <f>IFERROR(__xludf.DUMMYFUNCTION("IF(OR(F109="""",F112=""""),"""",IF(REGEXMATCH(F112,""W""),IF(F109&lt;0,((-100/F109))*10+F104,((F109/100)*10+F104)),-10+F104))"),33.89892600477309)</f>
        <v>33.898926</v>
      </c>
      <c r="G117" s="26">
        <f>IFERROR(__xludf.DUMMYFUNCTION("IF(OR(G109="""",G112=""""),"""",IF(REGEXMATCH(G112,""W""),IF(G109&lt;0,((-100/G109))*10+G104,((G109/100)*10+G104)),-10+G104))"),-0.53076256129021)</f>
        <v>-0.5307625613</v>
      </c>
      <c r="H117" s="26">
        <f>IFERROR(__xludf.DUMMYFUNCTION("IF(OR(H109="""",H112=""""),"""",IF(REGEXMATCH(H112,""W""),IF(H109&lt;0,((-100/H109))*10+H104,((H109/100)*10+H104)),-10+H104))"),25.801763401309024)</f>
        <v>25.8017634</v>
      </c>
      <c r="I117" s="26">
        <f>IFERROR(__xludf.DUMMYFUNCTION("IF(OR(I109="""",I112=""""),"""",IF(REGEXMATCH(I112,""W""),IF(I109&lt;0,((-100/I109))*10+I104,((I109/100)*10+I104)),-10+I104))"),-24.97592091620274)</f>
        <v>-24.97592092</v>
      </c>
      <c r="J117" s="26">
        <f>IFERROR(__xludf.DUMMYFUNCTION("IF(OR(J109="""",J112=""""),"""",IF(REGEXMATCH(J112,""W""),IF(J109&lt;0,((-100/J109))*10+J104,((J109/100)*10+J104)),-10+J104))"),27.196266823853033)</f>
        <v>27.19626682</v>
      </c>
      <c r="K117" s="26">
        <f>IFERROR(__xludf.DUMMYFUNCTION("IF(OR(K109="""",K112=""""),"""",IF(REGEXMATCH(K112,""W""),IF(K109&lt;0,((-100/K109))*10+K104,((K109/100)*10+K104)),-10+K104))"),-49.725984251968505)</f>
        <v>-49.72598425</v>
      </c>
      <c r="L117" s="26">
        <f>IFERROR(__xludf.DUMMYFUNCTION("IF(OR(L109="""",L112=""""),"""",IF(REGEXMATCH(L112,""W""),IF(L109&lt;0,((-100/L109))*10+L104,((L109/100)*10+L104)),-10+L104))"),50.253382797798714)</f>
        <v>50.2533828</v>
      </c>
      <c r="M117" s="14"/>
      <c r="N117" s="16" t="s">
        <v>89</v>
      </c>
      <c r="O117" s="10">
        <f>IFERROR(__xludf.DUMMYFUNCTION("IF(AND(C117="""",AND(D117="""",AND(E117="""",AND(F117="""",AND(G117="""",AND(H117="""",AND(I117="""",AND(J117="""",AND(K117="""",L117=""""))))))))),"""",(IF(C112="""",0,IF(REGEXMATCH(C112,""W""),IF(C109&lt;0,((-100/C109))*10,((C109/100)*10)),-10))+IF(D112="""&amp;""",0,IF(REGEXMATCH(D112,""W""),IF(D109&lt;0,((-100/D109))*10,((D109/100)*10)),-10))+IF(E112="""",0,IF(REGEXMATCH(E112,""W""),IF(E109&lt;0,((-100/E109))*10,((E109/100)*10)),-10))+IF(F112="""",0,IF(REGEXMATCH(F112,""W""),IF(F109&lt;0,((-100/F109))*10,((F109/100)*10)"&amp;"),-10))+IF(G112="""",0,IF(REGEXMATCH(G112,""W""),IF(G109&lt;0,((-100/G109))*10,((G109/100)*10)),-10))+IF(H112="""",0,IF(REGEXMATCH(H112,""W""),IF(H109&lt;0,((-100/H109))*10,((H109/100)*10)),-10))+IF(I112="""",0,IF(REGEXMATCH(I112,""W""),IF(I109&lt;0,((-100/I109))*"&amp;"10,((I109/100)*10)),-10))+IF(J112="""",0,IF(REGEXMATCH(J112,""W""),IF(J109&lt;0,((-100/J109))*10,((J109/100)*10)),-10))+IF(K112="""",0,IF(REGEXMATCH(K112,""W""),IF(K109&lt;0,((-100/K109))*10,((K109/100)*10)),-10))+IF(L112="""",0,IF(REGEXMATCH(L112,""W""),IF(L10"&amp;"9&lt;0,((-100/L109))*10,((L109/100)*10)),-10))))"),26.59220389805098)</f>
        <v>26.5922039</v>
      </c>
      <c r="P117" s="10">
        <f>IFERROR(__xludf.DUMMYFUNCTION("IF(AND(C117="""",AND(D117="""",AND(E117="""",AND(F117="""",AND(G117="""",AND(H117="""",AND(I117="""",AND(J117="""",AND(K117="""",L117=""""))))))))),"""",(P104+IF(C112="""",0,IF(REGEXMATCH(C112,""W""),IF(C109&lt;0,((-100/C109))*10,((C109/100)*10)),-10))+IF(D1"&amp;"12="""",0,IF(REGEXMATCH(D112,""W""),IF(D109&lt;0,((-100/D109))*10,((D109/100)*10)),-10))+IF(E112="""",0,IF(REGEXMATCH(E112,""W""),IF(E109&lt;0,((-100/E109))*10,((E109/100)*10)),-10))+IF(F112="""",0,IF(REGEXMATCH(F112,""W""),IF(F109&lt;0,((-100/F109))*10,((F109/100"&amp;")*10)),-10))+IF(G112="""",0,IF(REGEXMATCH(G112,""W""),IF(G109&lt;0,((-100/G109))*10,((G109/100)*10)),-10))+IF(H112="""",0,IF(REGEXMATCH(H112,""W""),IF(H109&lt;0,((-100/H109))*10,((H109/100)*10)),-10))+IF(I112="""",0,IF(REGEXMATCH(I112,""W""),IF(I109&lt;0,((-100/I1"&amp;"09))*10,((I109/100)*10)),-10))+IF(J112="""",0,IF(REGEXMATCH(J112,""W""),IF(J109&lt;0,((-100/J109))*10,((J109/100)*10)),-10))+IF(K112="""",0,IF(REGEXMATCH(K112,""W""),IF(K109&lt;0,((-100/K109))*10,((K109/100)*10)),-10))+IF(L112="""",0,IF(REGEXMATCH(L112,""W""),I"&amp;"F(L109&lt;0,((-100/L109))*10,((L109/100)*10)),-10))))"),139.26215613800133)</f>
        <v>139.2621561</v>
      </c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 ht="16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 ht="16.5" customHeight="1">
      <c r="A119" s="1" t="s">
        <v>556</v>
      </c>
      <c r="B119" s="2"/>
      <c r="C119" s="3" t="s">
        <v>1</v>
      </c>
      <c r="D119" s="3" t="s">
        <v>2</v>
      </c>
      <c r="E119" s="3" t="s">
        <v>3</v>
      </c>
      <c r="F119" s="3" t="s">
        <v>4</v>
      </c>
      <c r="G119" s="3" t="s">
        <v>5</v>
      </c>
      <c r="H119" s="3" t="s">
        <v>6</v>
      </c>
      <c r="I119" s="3" t="s">
        <v>7</v>
      </c>
      <c r="J119" s="3" t="s">
        <v>8</v>
      </c>
      <c r="K119" s="3" t="s">
        <v>9</v>
      </c>
      <c r="L119" s="3" t="s">
        <v>10</v>
      </c>
      <c r="M119" s="2"/>
      <c r="N119" s="4"/>
      <c r="O119" s="3" t="s">
        <v>11</v>
      </c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 ht="16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 ht="16.5" customHeight="1">
      <c r="A121" s="3" t="s">
        <v>12</v>
      </c>
      <c r="B121" s="2"/>
      <c r="C121" s="5" t="s">
        <v>557</v>
      </c>
      <c r="D121" s="5" t="s">
        <v>550</v>
      </c>
      <c r="E121" s="5" t="s">
        <v>558</v>
      </c>
      <c r="F121" s="5" t="s">
        <v>217</v>
      </c>
      <c r="G121" s="5" t="s">
        <v>559</v>
      </c>
      <c r="H121" s="5" t="s">
        <v>252</v>
      </c>
      <c r="I121" s="5" t="s">
        <v>560</v>
      </c>
      <c r="J121" s="5" t="s">
        <v>561</v>
      </c>
      <c r="K121" s="5" t="s">
        <v>562</v>
      </c>
      <c r="L121" s="5" t="s">
        <v>563</v>
      </c>
      <c r="M121" s="2"/>
      <c r="N121" s="3" t="s">
        <v>13</v>
      </c>
      <c r="O121" s="7">
        <f>IF(AND(C122="",AND(D122="",AND(E122="",AND(F122="",AND(G122="",AND(H122="",AND(I122="",AND(J122="",AND(K122="",L122=""))))))))),"",IF(((IF(C122="",1,IF(C122&gt;0,(C122/100)+1,(100/((-1)*C122))+1)))*(IF(D122="",1,IF(D122&gt;0,(D122/100)+1,(100/((-1)*D122))+1)))*(IF(E122="",1,IF(E122&gt;0,(E122/100)+1,(100/((-1)*E122))+1)))*(IF(F122="",1,IF(F122&gt;0,(F122/100)+1,(100/((-1)*F122))+1)))*(IF(G122="",1,IF(G122&gt;0,(G122/100)+1,(100/((-1)*G122))+1)))*(IF(H122="",1,IF(H122&gt;0,(H122/100)+1,(100/((-1)*H122))+1)))*(IF(I122="",1,IF(I122&gt;0,(I122/100)+1,(100/((-1)*I122))+1)))*(IF(J122="",1,IF(J122&gt;0,(J122/100)+1,(100/((-1)*J122))+1)))*(IF(K122="",1,IF(K122&gt;0,(K122/100)+1,(100/((-1)*K122))+1)))*(IF(L122="",1,IF(L122&gt;0,(L122/100)+1,(100/((-1)*L122))+1))))&lt;2,((-100)/(((IF(C122="",1,IF(C122&gt;0,(C122/100)+1,(100/((-1)*C122))+1)))*(IF(D122="",1,IF(D122&gt;0,(D122/100)+1,(100/((-1)*D122))+1)))*(IF(E122="",1,IF(E122&gt;0,(E122/100)+1,(100/((-1)*E122))+1)))*(IF(F122="",1,IF(F122&gt;0,(F122/100)+1,(100/((-1)*F122))+1)))*(IF(G122="",1,IF(G122&gt;0,(G122/100)+1,(100/((-1)*G122))+1)))*(IF(H122="",1,IF(H122&gt;0,(H122/100)+1,(100/((-1)*H122))+1)))*(IF(I122="",1,IF(I122&gt;0,(I122/100)+1,(100/((-1)*I122))+1)))*(IF(J122="",1,IF(J122&gt;0,(J122/100)+1,(100/((-1)*J122))+1)))*(IF(K122="",1,IF(K122&gt;0,(K122/100)+1,(100/((-1)*K122))+1)))*(IF(L122="",1,IF(L122&gt;0,(L122/100)+1,(100/((-1)*L122))+1))))-1)),((((IF(C122="",1,IF(C122&gt;0,(C122/100)+1,(100/((-1)*C122))+1)))*(IF(D122="",1,IF(D122&gt;0,(D122/100)+1,(100/((-1)*D122))+1)))*(IF(E122="",1,IF(E122&gt;0,(E122/100)+1,(100/((-1)*E122))+1)))*(IF(F122="",1,IF(F122&gt;0,(F122/100)+1,(100/((-1)*F122))+1)))*(IF(G122="",1,IF(G122&gt;0,(G122/100)+1,(100/((-1)*G122))+1)))*(IF(H122="",1,IF(H122&gt;0,(H122/100)+1,(100/((-1)*H122))+1)))*(IF(I122="",1,IF(I122&gt;0,(I122/100)+1,(100/((-1)*I122))+1)))*(IF(J122="",1,IF(J122&gt;0,(J122/100)+1,(100/((-1)*J122))+1)))*(IF(K122="",1,IF(K122&gt;0,(K122/100)+1,(100/((-1)*K122))+1)))*(IF(L122="",1,IF(L122&gt;0,(L122/100)+1,(100/((-1)*L122))+1))))-1)*(100))))</f>
        <v>50324.08946</v>
      </c>
      <c r="P121" s="4"/>
      <c r="Q121" s="8" t="s">
        <v>35</v>
      </c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 ht="16.5" customHeight="1">
      <c r="A122" s="3" t="s">
        <v>13</v>
      </c>
      <c r="B122" s="2"/>
      <c r="C122" s="5">
        <v>111.0</v>
      </c>
      <c r="D122" s="5">
        <v>-145.0</v>
      </c>
      <c r="E122" s="5">
        <v>-118.0</v>
      </c>
      <c r="F122" s="5">
        <v>-152.0</v>
      </c>
      <c r="G122" s="5">
        <v>160.0</v>
      </c>
      <c r="H122" s="5">
        <v>100.0</v>
      </c>
      <c r="I122" s="5">
        <v>-105.0</v>
      </c>
      <c r="J122" s="5">
        <v>-120.0</v>
      </c>
      <c r="K122" s="5">
        <v>-179.0</v>
      </c>
      <c r="L122" s="5">
        <v>-169.0</v>
      </c>
      <c r="M122" s="2">
        <v>9.0</v>
      </c>
      <c r="N122" s="3" t="s">
        <v>36</v>
      </c>
      <c r="O122" s="10">
        <f>IF(AND(C122="",AND(D122="",AND(E122="",AND(F122="",AND(G122="",AND(H122="",AND(I122="",AND(J122="",AND(K122="",L122=""))))))))),"",10+IF((IF(((IF(C122="",1,IF(C122&gt;0,(C122/100)+1,(100/((-1)*C122))+1)))*(IF(D122="",1,IF(D122&gt;0,(D122/100)+1,(100/((-1)*D122))+1)))*(IF(E122="",1,IF(E122&gt;0,(E122/100)+1,(100/((-1)*E122))+1)))*(IF(F122="",1,IF(F122&gt;0,(F122/100)+1,(100/((-1)*F122))+1)))*(IF(G122="",1,IF(G122&gt;0,(G122/100)+1,(100/((-1)*G122))+1)))*(IF(H122="",1,IF(H122&gt;0,(H122/100)+1,(100/((-1)*H122))+1)))*(IF(I122="",1,IF(I122&gt;0,(I122/100)+1,(100/((-1)*I122))+1)))*(IF(J122="",1,IF(J122&gt;0,(J122/100)+1,(100/((-1)*J122))+1)))*(IF(K122="",1,IF(K122&gt;0,(K122/100)+1,(100/((-1)*K122))+1)))*(IF(L122="",1,IF(L122&gt;0,(L122/100)+1,(100/((-1)*L122))+1))))&lt;2,((-100)/(((IF(C122="",1,IF(C122&gt;0,(C122/100)+1,(100/((-1)*C122))+1)))*(IF(D122="",1,IF(D122&gt;0,(D122/100)+1,(100/((-1)*D122))+1)))*(IF(E122="",1,IF(E122&gt;0,(E122/100)+1,(100/((-1)*E122))+1)))*(IF(F122="",1,IF(F122&gt;0,(F122/100)+1,(100/((-1)*F122))+1)))*(IF(G122="",1,IF(G122&gt;0,(G122/100)+1,(100/((-1)*G122))+1)))*(IF(H122="",1,IF(H122&gt;0,(H122/100)+1,(100/((-1)*H122))+1)))*(IF(I122="",1,IF(I122&gt;0,(I122/100)+1,(100/((-1)*I122))+1)))*(IF(J122="",1,IF(J122&gt;0,(J122/100)+1,(100/((-1)*J122))+1)))*(IF(K122="",1,IF(K122&gt;0,(K122/100)+1,(100/((-1)*K122))+1)))*(IF(L122="",1,IF(L122&gt;0,(L122/100)+1,(100/((-1)*L122))+1))))-1)),((((IF(C122="",1,IF(C122&gt;0,(C122/100)+1,(100/((-1)*C122))+1)))*(IF(D122="",1,IF(D122&gt;0,(D122/100)+1,(100/((-1)*D122))+1)))*(IF(E122="",1,IF(E122&gt;0,(E122/100)+1,(100/((-1)*E122))+1)))*(IF(F122="",1,IF(F122&gt;0,(F122/100)+1,(100/((-1)*F122))+1)))*(IF(G122="",1,IF(G122&gt;0,(G122/100)+1,(100/((-1)*G122))+1)))*(IF(H122="",1,IF(H122&gt;0,(H122/100)+1,(100/((-1)*H122))+1)))*(IF(I122="",1,IF(I122&gt;0,(I122/100)+1,(100/((-1)*I122))+1)))*(IF(J122="",1,IF(J122&gt;0,(J122/100)+1,(100/((-1)*J122))+1)))*(IF(K122="",1,IF(K122&gt;0,(K122/100)+1,(100/((-1)*K122))+1)))*(IF(L122="",1,IF(L122&gt;0,(L122/100)+1,(100/((-1)*L122))+1))))-1)*(100))))&lt;0,(((-100)/((IF(((IF(C122="",1,IF(C122&gt;0,(C122/100)+1,(100/((-1)*C122))+1)))*(IF(D122="",1,IF(D122&gt;0,(D122/100)+1,(100/((-1)*D122))+1)))*(IF(E122="",1,IF(E122&gt;0,(E122/100)+1,(100/((-1)*E122))+1)))*(IF(F122="",1,IF(F122&gt;0,(F122/100)+1,(100/((-1)*F122))+1)))*(IF(G122="",1,IF(G122&gt;0,(G122/100)+1,(100/((-1)*G122))+1)))*(IF(H122="",1,IF(H122&gt;0,(H122/100)+1,(100/((-1)*H122))+1)))*(IF(I122="",1,IF(I122&gt;0,(I122/100)+1,(100/((-1)*I122))+1)))*(IF(J122="",1,IF(J122&gt;0,(J122/100)+1,(100/((-1)*J122))+1)))*(IF(K122="",1,IF(K122&gt;0,(K122/100)+1,(100/((-1)*K122))+1)))*(IF(L122="",1,IF(L122&gt;0,(L122/100)+1,(100/((-1)*L122))+1))))&lt;2,((-100)/(((IF(C122="",1,IF(C122&gt;0,(C122/100)+1,(100/((-1)*C122))+1)))*(IF(D122="",1,IF(D122&gt;0,(D122/100)+1,(100/((-1)*D122))+1)))*(IF(E122="",1,IF(E122&gt;0,(E122/100)+1,(100/((-1)*E122))+1)))*(IF(F122="",1,IF(F122&gt;0,(F122/100)+1,(100/((-1)*F122))+1)))*(IF(G122="",1,IF(G122&gt;0,(G122/100)+1,(100/((-1)*G122))+1)))*(IF(H122="",1,IF(H122&gt;0,(H122/100)+1,(100/((-1)*H122))+1)))*(IF(I122="",1,IF(I122&gt;0,(I122/100)+1,(100/((-1)*I122))+1)))*(IF(J122="",1,IF(J122&gt;0,(J122/100)+1,(100/((-1)*J122))+1)))*(IF(K122="",1,IF(K122&gt;0,(K122/100)+1,(100/((-1)*K122))+1)))*(IF(L122="",1,IF(L122&gt;0,(L122/100)+1,(100/((-1)*L122))+1))))-1)),((((IF(C122="",1,IF(C122&gt;0,(C122/100)+1,(100/((-1)*C122))+1)))*(IF(D122="",1,IF(D122&gt;0,(D122/100)+1,(100/((-1)*D122))+1)))*(IF(E122="",1,IF(E122&gt;0,(E122/100)+1,(100/((-1)*E122))+1)))*(IF(F122="",1,IF(F122&gt;0,(F122/100)+1,(100/((-1)*F122))+1)))*(IF(G122="",1,IF(G122&gt;0,(G122/100)+1,(100/((-1)*G122))+1)))*(IF(H122="",1,IF(H122&gt;0,(H122/100)+1,(100/((-1)*H122))+1)))*(IF(I122="",1,IF(I122&gt;0,(I122/100)+1,(100/((-1)*I122))+1)))*(IF(J122="",1,IF(J122&gt;0,(J122/100)+1,(100/((-1)*J122))+1)))*(IF(K122="",1,IF(K122&gt;0,(K122/100)+1,(100/((-1)*K122))+1)))*(IF(L122="",1,IF(L122&gt;0,(L122/100)+1,(100/((-1)*L122))+1))))-1)*(100))))))*10),(((IF(((IF(C122="",1,IF(C122&gt;0,(C122/100)+1,(100/((-1)*C122))+1)))*(IF(D122="",1,IF(D122&gt;0,(D122/100)+1,(100/((-1)*D122))+1)))*(IF(E122="",1,IF(E122&gt;0,(E122/100)+1,(100/((-1)*E122))+1)))*(IF(F122="",1,IF(F122&gt;0,(F122/100)+1,(100/((-1)*F122))+1)))*(IF(G122="",1,IF(G122&gt;0,(G122/100)+1,(100/((-1)*G122))+1)))*(IF(H122="",1,IF(H122&gt;0,(H122/100)+1,(100/((-1)*H122))+1)))*(IF(I122="",1,IF(I122&gt;0,(I122/100)+1,(100/((-1)*I122))+1)))*(IF(J122="",1,IF(J122&gt;0,(J122/100)+1,(100/((-1)*J122))+1)))*(IF(K122="",1,IF(K122&gt;0,(K122/100)+1,(100/((-1)*K122))+1)))*(IF(L122="",1,IF(L122&gt;0,(L122/100)+1,(100/((-1)*L122))+1))))&lt;2,((-100)/(((IF(C122="",1,IF(C122&gt;0,(C122/100)+1,(100/((-1)*C122))+1)))*(IF(D122="",1,IF(D122&gt;0,(D122/100)+1,(100/((-1)*D122))+1)))*(IF(E122="",1,IF(E122&gt;0,(E122/100)+1,(100/((-1)*E122))+1)))*(IF(F122="",1,IF(F122&gt;0,(F122/100)+1,(100/((-1)*F122))+1)))*(IF(G122="",1,IF(G122&gt;0,(G122/100)+1,(100/((-1)*G122))+1)))*(IF(H122="",1,IF(H122&gt;0,(H122/100)+1,(100/((-1)*H122))+1)))*(IF(I122="",1,IF(I122&gt;0,(I122/100)+1,(100/((-1)*I122))+1)))*(IF(J122="",1,IF(J122&gt;0,(J122/100)+1,(100/((-1)*J122))+1)))*(IF(K122="",1,IF(K122&gt;0,(K122/100)+1,(100/((-1)*K122))+1)))*(IF(L122="",1,IF(L122&gt;0,(L122/100)+1,(100/((-1)*L122))+1))))-1)),((((IF(C122="",1,IF(C122&gt;0,(C122/100)+1,(100/((-1)*C122))+1)))*(IF(D122="",1,IF(D122&gt;0,(D122/100)+1,(100/((-1)*D122))+1)))*(IF(E122="",1,IF(E122&gt;0,(E122/100)+1,(100/((-1)*E122))+1)))*(IF(F122="",1,IF(F122&gt;0,(F122/100)+1,(100/((-1)*F122))+1)))*(IF(G122="",1,IF(G122&gt;0,(G122/100)+1,(100/((-1)*G122))+1)))*(IF(H122="",1,IF(H122&gt;0,(H122/100)+1,(100/((-1)*H122))+1)))*(IF(I122="",1,IF(I122&gt;0,(I122/100)+1,(100/((-1)*I122))+1)))*(IF(J122="",1,IF(J122&gt;0,(J122/100)+1,(100/((-1)*J122))+1)))*(IF(K122="",1,IF(K122&gt;0,(K122/100)+1,(100/((-1)*K122))+1)))*(IF(L122="",1,IF(L122&gt;0,(L122/100)+1,(100/((-1)*L122))+1))))-1)*(100))))/100)*10)))</f>
        <v>5042.408946</v>
      </c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 ht="16.5" customHeight="1">
      <c r="A123" s="3" t="s">
        <v>37</v>
      </c>
      <c r="B123" s="2"/>
      <c r="C123" s="5" t="s">
        <v>590</v>
      </c>
      <c r="D123" s="5" t="s">
        <v>591</v>
      </c>
      <c r="E123" s="5" t="s">
        <v>592</v>
      </c>
      <c r="F123" s="5" t="s">
        <v>593</v>
      </c>
      <c r="G123" s="5" t="s">
        <v>594</v>
      </c>
      <c r="H123" s="5" t="s">
        <v>595</v>
      </c>
      <c r="I123" s="5" t="s">
        <v>596</v>
      </c>
      <c r="J123" s="5" t="s">
        <v>597</v>
      </c>
      <c r="K123" s="5" t="s">
        <v>598</v>
      </c>
      <c r="L123" s="5" t="s">
        <v>599</v>
      </c>
      <c r="M123" s="2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 ht="16.5" customHeight="1">
      <c r="A124" s="3" t="s">
        <v>48</v>
      </c>
      <c r="B124" s="2"/>
      <c r="C124" s="5" t="s">
        <v>600</v>
      </c>
      <c r="D124" s="5" t="s">
        <v>601</v>
      </c>
      <c r="E124" s="5" t="s">
        <v>237</v>
      </c>
      <c r="F124" s="5" t="s">
        <v>602</v>
      </c>
      <c r="G124" s="5" t="s">
        <v>54</v>
      </c>
      <c r="H124" s="5" t="s">
        <v>603</v>
      </c>
      <c r="I124" s="5" t="s">
        <v>181</v>
      </c>
      <c r="J124" s="5" t="s">
        <v>604</v>
      </c>
      <c r="K124" s="5" t="s">
        <v>73</v>
      </c>
      <c r="L124" s="5" t="s">
        <v>605</v>
      </c>
      <c r="M124" s="2"/>
      <c r="N124" s="4"/>
      <c r="O124" s="3" t="s">
        <v>56</v>
      </c>
      <c r="P124" s="3" t="s">
        <v>57</v>
      </c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 ht="16.5" customHeight="1">
      <c r="A125" s="3" t="s">
        <v>59</v>
      </c>
      <c r="B125" s="2"/>
      <c r="C125" s="5" t="s">
        <v>62</v>
      </c>
      <c r="D125" s="5" t="s">
        <v>60</v>
      </c>
      <c r="E125" s="5" t="s">
        <v>60</v>
      </c>
      <c r="F125" s="5" t="s">
        <v>60</v>
      </c>
      <c r="G125" s="5" t="s">
        <v>62</v>
      </c>
      <c r="H125" s="5" t="s">
        <v>60</v>
      </c>
      <c r="I125" s="5" t="s">
        <v>62</v>
      </c>
      <c r="J125" s="5" t="s">
        <v>62</v>
      </c>
      <c r="K125" s="5" t="s">
        <v>60</v>
      </c>
      <c r="L125" s="5" t="s">
        <v>60</v>
      </c>
      <c r="M125" s="2"/>
      <c r="N125" s="3" t="s">
        <v>65</v>
      </c>
      <c r="O125" s="12" t="str">
        <f>IFERROR(__xludf.DUMMYFUNCTION("IF(OR(COUNTA(C122:L122) = 0, COUNTA(C125:L125) = 0), """", IFERROR(TEXTJOIN("", "", TRUE, FILTER(C119:L119, (C125:L125 = ""W"") * (C122:L122 = MAX(FILTER(C122:L122, C125:L125 = ""W""))))), """"))"),"Jake")</f>
        <v>Jake</v>
      </c>
      <c r="P125" s="12" t="str">
        <f>IFERROR(__xludf.DUMMYFUNCTION("IF(COUNTA(C130:L130) = 0, """", IFERROR(TEXTJOIN("", "", TRUE, FILTER(C119:L119, C130:L130 = MAX(C130:L130))), """"))"),"Trey")</f>
        <v>Trey</v>
      </c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 ht="16.5" customHeight="1">
      <c r="A126" s="1" t="s">
        <v>81</v>
      </c>
      <c r="B126" s="2"/>
      <c r="C126" s="4">
        <f t="shared" ref="C126:L126" si="37">IF(OR(C122="",C125=""),"",C113+COUNTIF(C125,"W"))</f>
        <v>6</v>
      </c>
      <c r="D126" s="4">
        <f t="shared" si="37"/>
        <v>8</v>
      </c>
      <c r="E126" s="4">
        <f t="shared" si="37"/>
        <v>7</v>
      </c>
      <c r="F126" s="4">
        <f t="shared" si="37"/>
        <v>8</v>
      </c>
      <c r="G126" s="4">
        <f t="shared" si="37"/>
        <v>5</v>
      </c>
      <c r="H126" s="4">
        <f t="shared" si="37"/>
        <v>7</v>
      </c>
      <c r="I126" s="4">
        <f t="shared" si="37"/>
        <v>4</v>
      </c>
      <c r="J126" s="4">
        <f t="shared" si="37"/>
        <v>6</v>
      </c>
      <c r="K126" s="4">
        <f t="shared" si="37"/>
        <v>3</v>
      </c>
      <c r="L126" s="4">
        <f t="shared" si="37"/>
        <v>8</v>
      </c>
      <c r="M126" s="2"/>
      <c r="N126" s="3" t="s">
        <v>82</v>
      </c>
      <c r="O126" s="4" t="str">
        <f>IFERROR(__xludf.DUMMYFUNCTION("IF(OR(COUNTA(C122:L122) = 0, COUNTA(C125:L125) = 0), """", IFERROR(TEXTJOIN("", "", TRUE, FILTER(C119:L119, (C125:L125 = ""L"") * (C122:L122 = MIN(FILTER(C122:L122, C125:L125 = ""L""))))), """"))"),"Tanner")</f>
        <v>Tanner</v>
      </c>
      <c r="P126" s="12" t="str">
        <f>IFERROR(__xludf.DUMMYFUNCTION("IF(COUNTA(C130:L130) = 0, """", IFERROR(TEXTJOIN("", "", TRUE, FILTER(C119:L119, C130:L130 = MIN(C130:L130))), """"))"),"Taylon")</f>
        <v>Taylon</v>
      </c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 ht="16.5" customHeight="1">
      <c r="A127" s="1" t="s">
        <v>83</v>
      </c>
      <c r="B127" s="2"/>
      <c r="C127" s="27">
        <f t="shared" ref="C127:L127" si="38">IF(OR(C122="",C125=""),"",C114+COUNTIF(C125,"L"))</f>
        <v>4</v>
      </c>
      <c r="D127" s="27">
        <f t="shared" si="38"/>
        <v>2</v>
      </c>
      <c r="E127" s="27">
        <f t="shared" si="38"/>
        <v>3</v>
      </c>
      <c r="F127" s="27">
        <f t="shared" si="38"/>
        <v>2</v>
      </c>
      <c r="G127" s="27">
        <f t="shared" si="38"/>
        <v>5</v>
      </c>
      <c r="H127" s="27">
        <f t="shared" si="38"/>
        <v>3</v>
      </c>
      <c r="I127" s="27">
        <f t="shared" si="38"/>
        <v>6</v>
      </c>
      <c r="J127" s="27">
        <f t="shared" si="38"/>
        <v>4</v>
      </c>
      <c r="K127" s="27">
        <f t="shared" si="38"/>
        <v>7</v>
      </c>
      <c r="L127" s="27">
        <f t="shared" si="38"/>
        <v>2</v>
      </c>
      <c r="M127" s="2"/>
      <c r="N127" s="3" t="s">
        <v>84</v>
      </c>
      <c r="O127" s="12" t="str">
        <f>IFERROR(__xludf.DUMMYFUNCTION("IF(COUNTA(C122:L122) = 0, """", IFERROR(TEXTJOIN("", "", TRUE, FILTER(C119:L119, C122:L122 = MAX(C122:L122))), """"))"),"Hunter")</f>
        <v>Hunter</v>
      </c>
      <c r="P127" s="4" t="str">
        <f>IFERROR(__xludf.DUMMYFUNCTION("IF(COUNTA(C122:L122) = 0, """", IFERROR(TEXTJOIN("", "", TRUE, FILTER(C119:L119, C129:L129 = MAX(C129:L129))), """"))"),"Hunter")</f>
        <v>Hunter</v>
      </c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 ht="16.5" customHeight="1">
      <c r="A128" s="3" t="s">
        <v>85</v>
      </c>
      <c r="B128" s="2"/>
      <c r="C128" s="24">
        <f t="shared" ref="C128:L128" si="39">IF(OR(C122="",C125=""),"",(C126/(C126+C127)))</f>
        <v>0.6</v>
      </c>
      <c r="D128" s="24">
        <f t="shared" si="39"/>
        <v>0.8</v>
      </c>
      <c r="E128" s="24">
        <f t="shared" si="39"/>
        <v>0.7</v>
      </c>
      <c r="F128" s="24">
        <f t="shared" si="39"/>
        <v>0.8</v>
      </c>
      <c r="G128" s="24">
        <f t="shared" si="39"/>
        <v>0.5</v>
      </c>
      <c r="H128" s="24">
        <f t="shared" si="39"/>
        <v>0.7</v>
      </c>
      <c r="I128" s="24">
        <f t="shared" si="39"/>
        <v>0.4</v>
      </c>
      <c r="J128" s="24">
        <f t="shared" si="39"/>
        <v>0.6</v>
      </c>
      <c r="K128" s="24">
        <f t="shared" si="39"/>
        <v>0.3</v>
      </c>
      <c r="L128" s="24">
        <f t="shared" si="39"/>
        <v>0.8</v>
      </c>
      <c r="M128" s="14"/>
      <c r="N128" s="3" t="s">
        <v>86</v>
      </c>
      <c r="O128" s="4" t="str">
        <f>IFERROR(__xludf.DUMMYFUNCTION("IF(COUNTA(C122:L122) = 0, """", IFERROR(TEXTJOIN("", "", TRUE, FILTER(C119:L119, C122:L122 = MIN(C122:L122))), """"))"),"Taylon")</f>
        <v>Taylon</v>
      </c>
      <c r="P128" s="4" t="str">
        <f>IFERROR(__xludf.DUMMYFUNCTION("IF(COUNTA(C122:L122) = 0, """", IFERROR(TEXTJOIN("", "", TRUE, FILTER(C119:L119, C129:L129 = MIN(C129:L129))), """"))"),"Carson")</f>
        <v>Carson</v>
      </c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 ht="16.5" customHeight="1">
      <c r="A129" s="3" t="s">
        <v>87</v>
      </c>
      <c r="B129" s="2"/>
      <c r="C129" s="25">
        <f t="shared" ref="C129:L129" si="40">IF(C122="","",IF(((IF(C122 &lt;0,((-100/C122)+1),((C122/100)+1))+(IF(C116&lt;0,((-100/C116)+1),((C116/100)+1)))*(C113+C114))/(C113+C114+1))&lt;2,(-100/(((IF(C122 &lt;0,((-100/C122)+1),((C122/100)+1))+(IF(C116&lt;0,((-100/C116)+1),((C116/100)+1)))*(C113+C114))/(C113+C114+1))-1)),(((IF(C122 &lt;0,((-100/C122)+1),((C122/100)+1))+(IF(C116&lt;0,((-100/C116)+1),((C116/100)+1)))*(C113+C114))/(C113+C114+1))-1)*100))</f>
        <v>-111.0319353</v>
      </c>
      <c r="D129" s="25">
        <f t="shared" si="40"/>
        <v>-132.042921</v>
      </c>
      <c r="E129" s="25">
        <f t="shared" si="40"/>
        <v>-110.4323274</v>
      </c>
      <c r="F129" s="25">
        <f t="shared" si="40"/>
        <v>-126.5643244</v>
      </c>
      <c r="G129" s="25">
        <f t="shared" si="40"/>
        <v>103.8968154</v>
      </c>
      <c r="H129" s="25">
        <f t="shared" si="40"/>
        <v>-103.0737833</v>
      </c>
      <c r="I129" s="25">
        <f t="shared" si="40"/>
        <v>-130.9449762</v>
      </c>
      <c r="J129" s="25">
        <f t="shared" si="40"/>
        <v>-108.6565421</v>
      </c>
      <c r="K129" s="25">
        <f t="shared" si="40"/>
        <v>-119.5302591</v>
      </c>
      <c r="L129" s="25">
        <f t="shared" si="40"/>
        <v>-107.7100581</v>
      </c>
      <c r="M129" s="14"/>
      <c r="N129" s="4"/>
      <c r="O129" s="12"/>
      <c r="P129" s="12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>
      <c r="A130" s="16" t="s">
        <v>88</v>
      </c>
      <c r="B130" s="2"/>
      <c r="C130" s="26">
        <f>IFERROR(__xludf.DUMMYFUNCTION("IF(OR(C122="""",C125=""""),"""",IF(REGEXMATCH(C125,""W""),IF(C122&lt;0,((-100/C122))*10+C117,((C122/100)*10+C117)),-10+C117))"),9.135192619924176)</f>
        <v>9.13519262</v>
      </c>
      <c r="D130" s="26">
        <f>IFERROR(__xludf.DUMMYFUNCTION("IF(OR(D122="""",D125=""""),"""",IF(REGEXMATCH(D125,""W""),IF(D122&lt;0,((-100/D122))*10+D117,((D122/100)*10+D117)),-10+D117))"),38.32554308023926)</f>
        <v>38.32554308</v>
      </c>
      <c r="E130" s="26">
        <f>IFERROR(__xludf.DUMMYFUNCTION("IF(OR(E122="""",E125=""""),"""",IF(REGEXMATCH(E125,""W""),IF(E122&lt;0,((-100/E122))*10+E117,((E122/100)*10+E117)),-10+E117))"),35.254877134889924)</f>
        <v>35.25487713</v>
      </c>
      <c r="F130" s="26">
        <f>IFERROR(__xludf.DUMMYFUNCTION("IF(OR(F122="""",F125=""""),"""",IF(REGEXMATCH(F125,""W""),IF(F122&lt;0,((-100/F122))*10+F117,((F122/100)*10+F117)),-10+F117))"),40.47787337319414)</f>
        <v>40.47787337</v>
      </c>
      <c r="G130" s="26">
        <f>IFERROR(__xludf.DUMMYFUNCTION("IF(OR(G122="""",G125=""""),"""",IF(REGEXMATCH(G125,""W""),IF(G122&lt;0,((-100/G122))*10+G117,((G122/100)*10+G117)),-10+G117))"),-10.53076256129021)</f>
        <v>-10.53076256</v>
      </c>
      <c r="H130" s="26">
        <f>IFERROR(__xludf.DUMMYFUNCTION("IF(OR(H122="""",H125=""""),"""",IF(REGEXMATCH(H125,""W""),IF(H122&lt;0,((-100/H122))*10+H117,((H122/100)*10+H117)),-10+H117))"),35.801763401309024)</f>
        <v>35.8017634</v>
      </c>
      <c r="I130" s="26">
        <f>IFERROR(__xludf.DUMMYFUNCTION("IF(OR(I122="""",I125=""""),"""",IF(REGEXMATCH(I125,""W""),IF(I122&lt;0,((-100/I122))*10+I117,((I122/100)*10+I117)),-10+I117))"),-34.97592091620274)</f>
        <v>-34.97592092</v>
      </c>
      <c r="J130" s="26">
        <f>IFERROR(__xludf.DUMMYFUNCTION("IF(OR(J122="""",J125=""""),"""",IF(REGEXMATCH(J125,""W""),IF(J122&lt;0,((-100/J122))*10+J117,((J122/100)*10+J117)),-10+J117))"),17.196266823853033)</f>
        <v>17.19626682</v>
      </c>
      <c r="K130" s="26">
        <f>IFERROR(__xludf.DUMMYFUNCTION("IF(OR(K122="""",K125=""""),"""",IF(REGEXMATCH(K125,""W""),IF(K122&lt;0,((-100/K122))*10+K117,((K122/100)*10+K117)),-10+K117))"),-44.139392073197556)</f>
        <v>-44.13939207</v>
      </c>
      <c r="L130" s="26">
        <f>IFERROR(__xludf.DUMMYFUNCTION("IF(OR(L122="""",L125=""""),"""",IF(REGEXMATCH(L125,""W""),IF(L122&lt;0,((-100/L122))*10+L117,((L122/100)*10+L117)),-10+L117))"),56.17054256111233)</f>
        <v>56.17054256</v>
      </c>
      <c r="M130" s="14"/>
      <c r="N130" s="16" t="s">
        <v>89</v>
      </c>
      <c r="O130" s="10">
        <f>IFERROR(__xludf.DUMMYFUNCTION("IF(AND(C130="""",AND(D130="""",AND(E130="""",AND(F130="""",AND(G130="""",AND(H130="""",AND(I130="""",AND(J130="""",AND(K130="""",L130=""""))))))))),"""",(IF(C125="""",0,IF(REGEXMATCH(C125,""W""),IF(C122&lt;0,((-100/C122))*10,((C122/100)*10)),-10))+IF(D125="""&amp;""",0,IF(REGEXMATCH(D125,""W""),IF(D122&lt;0,((-100/D122))*10,((D122/100)*10)),-10))+IF(E125="""",0,IF(REGEXMATCH(E125,""W""),IF(E122&lt;0,((-100/E122))*10,((E122/100)*10)),-10))+IF(F125="""",0,IF(REGEXMATCH(F125,""W""),IF(F122&lt;0,((-100/F122))*10,((F122/100)*10)"&amp;"),-10))+IF(G125="""",0,IF(REGEXMATCH(G125,""W""),IF(G122&lt;0,((-100/G122))*10,((G122/100)*10)),-10))+IF(H125="""",0,IF(REGEXMATCH(H125,""W""),IF(H122&lt;0,((-100/H122))*10,((H122/100)*10)),-10))+IF(I125="""",0,IF(REGEXMATCH(I125,""W""),IF(I122&lt;0,((-100/I122))*"&amp;"10,((I122/100)*10)),-10))+IF(J125="""",0,IF(REGEXMATCH(J125,""W""),IF(J122&lt;0,((-100/J122))*10,((J122/100)*10)),-10))+IF(K125="""",0,IF(REGEXMATCH(K125,""W""),IF(K122&lt;0,((-100/K122))*10,((K122/100)*10)),-10))+IF(L125="""",0,IF(REGEXMATCH(L125,""W""),IF(L12"&amp;"2&lt;0,((-100/L122))*10,((L122/100)*10)),-10))))"),3.453827305829982)</f>
        <v>3.453827306</v>
      </c>
      <c r="P130" s="10">
        <f>IFERROR(__xludf.DUMMYFUNCTION("IF(AND(C130="""",AND(D130="""",AND(E130="""",AND(F130="""",AND(G130="""",AND(H130="""",AND(I130="""",AND(J130="""",AND(K130="""",L130=""""))))))))),"""",(P117+IF(C125="""",0,IF(REGEXMATCH(C125,""W""),IF(C122&lt;0,((-100/C122))*10,((C122/100)*10)),-10))+IF(D1"&amp;"25="""",0,IF(REGEXMATCH(D125,""W""),IF(D122&lt;0,((-100/D122))*10,((D122/100)*10)),-10))+IF(E125="""",0,IF(REGEXMATCH(E125,""W""),IF(E122&lt;0,((-100/E122))*10,((E122/100)*10)),-10))+IF(F125="""",0,IF(REGEXMATCH(F125,""W""),IF(F122&lt;0,((-100/F122))*10,((F122/100"&amp;")*10)),-10))+IF(G125="""",0,IF(REGEXMATCH(G125,""W""),IF(G122&lt;0,((-100/G122))*10,((G122/100)*10)),-10))+IF(H125="""",0,IF(REGEXMATCH(H125,""W""),IF(H122&lt;0,((-100/H122))*10,((H122/100)*10)),-10))+IF(I125="""",0,IF(REGEXMATCH(I125,""W""),IF(I122&lt;0,((-100/I1"&amp;"22))*10,((I122/100)*10)),-10))+IF(J125="""",0,IF(REGEXMATCH(J125,""W""),IF(J122&lt;0,((-100/J122))*10,((J122/100)*10)),-10))+IF(K125="""",0,IF(REGEXMATCH(K125,""W""),IF(K122&lt;0,((-100/K122))*10,((K122/100)*10)),-10))+IF(L125="""",0,IF(REGEXMATCH(L125,""W""),I"&amp;"F(L122&lt;0,((-100/L122))*10,((L122/100)*10)),-10))))"),142.7159834438313)</f>
        <v>142.7159834</v>
      </c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 ht="16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 ht="16.5" customHeight="1">
      <c r="A132" s="1" t="s">
        <v>606</v>
      </c>
      <c r="B132" s="2"/>
      <c r="C132" s="3" t="s">
        <v>1</v>
      </c>
      <c r="D132" s="3" t="s">
        <v>2</v>
      </c>
      <c r="E132" s="3" t="s">
        <v>3</v>
      </c>
      <c r="F132" s="3" t="s">
        <v>4</v>
      </c>
      <c r="G132" s="3" t="s">
        <v>5</v>
      </c>
      <c r="H132" s="3" t="s">
        <v>6</v>
      </c>
      <c r="I132" s="3" t="s">
        <v>7</v>
      </c>
      <c r="J132" s="3" t="s">
        <v>8</v>
      </c>
      <c r="K132" s="3" t="s">
        <v>9</v>
      </c>
      <c r="L132" s="3" t="s">
        <v>10</v>
      </c>
      <c r="M132" s="2"/>
      <c r="N132" s="4"/>
      <c r="O132" s="3" t="s">
        <v>11</v>
      </c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 ht="16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 ht="16.5" customHeight="1">
      <c r="A134" s="3" t="s">
        <v>12</v>
      </c>
      <c r="B134" s="2"/>
      <c r="C134" s="5" t="s">
        <v>607</v>
      </c>
      <c r="D134" s="5" t="s">
        <v>97</v>
      </c>
      <c r="E134" s="5" t="s">
        <v>608</v>
      </c>
      <c r="F134" s="5" t="s">
        <v>609</v>
      </c>
      <c r="G134" s="5" t="s">
        <v>586</v>
      </c>
      <c r="H134" s="5" t="s">
        <v>610</v>
      </c>
      <c r="I134" s="5" t="s">
        <v>611</v>
      </c>
      <c r="J134" s="5" t="s">
        <v>221</v>
      </c>
      <c r="K134" s="5" t="s">
        <v>612</v>
      </c>
      <c r="L134" s="5" t="s">
        <v>613</v>
      </c>
      <c r="M134" s="2"/>
      <c r="N134" s="3" t="s">
        <v>13</v>
      </c>
      <c r="O134" s="7">
        <f>IF(AND(C135="",AND(D135="",AND(E135="",AND(F135="",AND(G135="",AND(H135="",AND(I135="",AND(J135="",AND(K135="",L135=""))))))))),"",IF(((IF(C135="",1,IF(C135&gt;0,(C135/100)+1,(100/((-1)*C135))+1)))*(IF(D135="",1,IF(D135&gt;0,(D135/100)+1,(100/((-1)*D135))+1)))*(IF(E135="",1,IF(E135&gt;0,(E135/100)+1,(100/((-1)*E135))+1)))*(IF(F135="",1,IF(F135&gt;0,(F135/100)+1,(100/((-1)*F135))+1)))*(IF(G135="",1,IF(G135&gt;0,(G135/100)+1,(100/((-1)*G135))+1)))*(IF(H135="",1,IF(H135&gt;0,(H135/100)+1,(100/((-1)*H135))+1)))*(IF(I135="",1,IF(I135&gt;0,(I135/100)+1,(100/((-1)*I135))+1)))*(IF(J135="",1,IF(J135&gt;0,(J135/100)+1,(100/((-1)*J135))+1)))*(IF(K135="",1,IF(K135&gt;0,(K135/100)+1,(100/((-1)*K135))+1)))*(IF(L135="",1,IF(L135&gt;0,(L135/100)+1,(100/((-1)*L135))+1))))&lt;2,((-100)/(((IF(C135="",1,IF(C135&gt;0,(C135/100)+1,(100/((-1)*C135))+1)))*(IF(D135="",1,IF(D135&gt;0,(D135/100)+1,(100/((-1)*D135))+1)))*(IF(E135="",1,IF(E135&gt;0,(E135/100)+1,(100/((-1)*E135))+1)))*(IF(F135="",1,IF(F135&gt;0,(F135/100)+1,(100/((-1)*F135))+1)))*(IF(G135="",1,IF(G135&gt;0,(G135/100)+1,(100/((-1)*G135))+1)))*(IF(H135="",1,IF(H135&gt;0,(H135/100)+1,(100/((-1)*H135))+1)))*(IF(I135="",1,IF(I135&gt;0,(I135/100)+1,(100/((-1)*I135))+1)))*(IF(J135="",1,IF(J135&gt;0,(J135/100)+1,(100/((-1)*J135))+1)))*(IF(K135="",1,IF(K135&gt;0,(K135/100)+1,(100/((-1)*K135))+1)))*(IF(L135="",1,IF(L135&gt;0,(L135/100)+1,(100/((-1)*L135))+1))))-1)),((((IF(C135="",1,IF(C135&gt;0,(C135/100)+1,(100/((-1)*C135))+1)))*(IF(D135="",1,IF(D135&gt;0,(D135/100)+1,(100/((-1)*D135))+1)))*(IF(E135="",1,IF(E135&gt;0,(E135/100)+1,(100/((-1)*E135))+1)))*(IF(F135="",1,IF(F135&gt;0,(F135/100)+1,(100/((-1)*F135))+1)))*(IF(G135="",1,IF(G135&gt;0,(G135/100)+1,(100/((-1)*G135))+1)))*(IF(H135="",1,IF(H135&gt;0,(H135/100)+1,(100/((-1)*H135))+1)))*(IF(I135="",1,IF(I135&gt;0,(I135/100)+1,(100/((-1)*I135))+1)))*(IF(J135="",1,IF(J135&gt;0,(J135/100)+1,(100/((-1)*J135))+1)))*(IF(K135="",1,IF(K135&gt;0,(K135/100)+1,(100/((-1)*K135))+1)))*(IF(L135="",1,IF(L135&gt;0,(L135/100)+1,(100/((-1)*L135))+1))))-1)*(100))))</f>
        <v>89439.92795</v>
      </c>
      <c r="P134" s="4"/>
      <c r="Q134" s="8" t="s">
        <v>35</v>
      </c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 ht="16.5" customHeight="1">
      <c r="A135" s="3" t="s">
        <v>13</v>
      </c>
      <c r="B135" s="2"/>
      <c r="C135" s="5">
        <v>-222.0</v>
      </c>
      <c r="D135" s="5">
        <v>-208.0</v>
      </c>
      <c r="E135" s="5">
        <v>-105.0</v>
      </c>
      <c r="F135" s="5">
        <v>-125.0</v>
      </c>
      <c r="G135" s="5">
        <v>-102.0</v>
      </c>
      <c r="H135" s="5">
        <v>185.0</v>
      </c>
      <c r="I135" s="5">
        <v>155.0</v>
      </c>
      <c r="J135" s="5">
        <v>-159.0</v>
      </c>
      <c r="K135" s="5">
        <v>120.0</v>
      </c>
      <c r="L135" s="5">
        <v>130.0</v>
      </c>
      <c r="M135" s="2">
        <v>10.0</v>
      </c>
      <c r="N135" s="3" t="s">
        <v>36</v>
      </c>
      <c r="O135" s="10">
        <f>IF(AND(C135="",AND(D135="",AND(E135="",AND(F135="",AND(G135="",AND(H135="",AND(I135="",AND(J135="",AND(K135="",L135=""))))))))),"",10+IF((IF(((IF(C135="",1,IF(C135&gt;0,(C135/100)+1,(100/((-1)*C135))+1)))*(IF(D135="",1,IF(D135&gt;0,(D135/100)+1,(100/((-1)*D135))+1)))*(IF(E135="",1,IF(E135&gt;0,(E135/100)+1,(100/((-1)*E135))+1)))*(IF(F135="",1,IF(F135&gt;0,(F135/100)+1,(100/((-1)*F135))+1)))*(IF(G135="",1,IF(G135&gt;0,(G135/100)+1,(100/((-1)*G135))+1)))*(IF(H135="",1,IF(H135&gt;0,(H135/100)+1,(100/((-1)*H135))+1)))*(IF(I135="",1,IF(I135&gt;0,(I135/100)+1,(100/((-1)*I135))+1)))*(IF(J135="",1,IF(J135&gt;0,(J135/100)+1,(100/((-1)*J135))+1)))*(IF(K135="",1,IF(K135&gt;0,(K135/100)+1,(100/((-1)*K135))+1)))*(IF(L135="",1,IF(L135&gt;0,(L135/100)+1,(100/((-1)*L135))+1))))&lt;2,((-100)/(((IF(C135="",1,IF(C135&gt;0,(C135/100)+1,(100/((-1)*C135))+1)))*(IF(D135="",1,IF(D135&gt;0,(D135/100)+1,(100/((-1)*D135))+1)))*(IF(E135="",1,IF(E135&gt;0,(E135/100)+1,(100/((-1)*E135))+1)))*(IF(F135="",1,IF(F135&gt;0,(F135/100)+1,(100/((-1)*F135))+1)))*(IF(G135="",1,IF(G135&gt;0,(G135/100)+1,(100/((-1)*G135))+1)))*(IF(H135="",1,IF(H135&gt;0,(H135/100)+1,(100/((-1)*H135))+1)))*(IF(I135="",1,IF(I135&gt;0,(I135/100)+1,(100/((-1)*I135))+1)))*(IF(J135="",1,IF(J135&gt;0,(J135/100)+1,(100/((-1)*J135))+1)))*(IF(K135="",1,IF(K135&gt;0,(K135/100)+1,(100/((-1)*K135))+1)))*(IF(L135="",1,IF(L135&gt;0,(L135/100)+1,(100/((-1)*L135))+1))))-1)),((((IF(C135="",1,IF(C135&gt;0,(C135/100)+1,(100/((-1)*C135))+1)))*(IF(D135="",1,IF(D135&gt;0,(D135/100)+1,(100/((-1)*D135))+1)))*(IF(E135="",1,IF(E135&gt;0,(E135/100)+1,(100/((-1)*E135))+1)))*(IF(F135="",1,IF(F135&gt;0,(F135/100)+1,(100/((-1)*F135))+1)))*(IF(G135="",1,IF(G135&gt;0,(G135/100)+1,(100/((-1)*G135))+1)))*(IF(H135="",1,IF(H135&gt;0,(H135/100)+1,(100/((-1)*H135))+1)))*(IF(I135="",1,IF(I135&gt;0,(I135/100)+1,(100/((-1)*I135))+1)))*(IF(J135="",1,IF(J135&gt;0,(J135/100)+1,(100/((-1)*J135))+1)))*(IF(K135="",1,IF(K135&gt;0,(K135/100)+1,(100/((-1)*K135))+1)))*(IF(L135="",1,IF(L135&gt;0,(L135/100)+1,(100/((-1)*L135))+1))))-1)*(100))))&lt;0,(((-100)/((IF(((IF(C135="",1,IF(C135&gt;0,(C135/100)+1,(100/((-1)*C135))+1)))*(IF(D135="",1,IF(D135&gt;0,(D135/100)+1,(100/((-1)*D135))+1)))*(IF(E135="",1,IF(E135&gt;0,(E135/100)+1,(100/((-1)*E135))+1)))*(IF(F135="",1,IF(F135&gt;0,(F135/100)+1,(100/((-1)*F135))+1)))*(IF(G135="",1,IF(G135&gt;0,(G135/100)+1,(100/((-1)*G135))+1)))*(IF(H135="",1,IF(H135&gt;0,(H135/100)+1,(100/((-1)*H135))+1)))*(IF(I135="",1,IF(I135&gt;0,(I135/100)+1,(100/((-1)*I135))+1)))*(IF(J135="",1,IF(J135&gt;0,(J135/100)+1,(100/((-1)*J135))+1)))*(IF(K135="",1,IF(K135&gt;0,(K135/100)+1,(100/((-1)*K135))+1)))*(IF(L135="",1,IF(L135&gt;0,(L135/100)+1,(100/((-1)*L135))+1))))&lt;2,((-100)/(((IF(C135="",1,IF(C135&gt;0,(C135/100)+1,(100/((-1)*C135))+1)))*(IF(D135="",1,IF(D135&gt;0,(D135/100)+1,(100/((-1)*D135))+1)))*(IF(E135="",1,IF(E135&gt;0,(E135/100)+1,(100/((-1)*E135))+1)))*(IF(F135="",1,IF(F135&gt;0,(F135/100)+1,(100/((-1)*F135))+1)))*(IF(G135="",1,IF(G135&gt;0,(G135/100)+1,(100/((-1)*G135))+1)))*(IF(H135="",1,IF(H135&gt;0,(H135/100)+1,(100/((-1)*H135))+1)))*(IF(I135="",1,IF(I135&gt;0,(I135/100)+1,(100/((-1)*I135))+1)))*(IF(J135="",1,IF(J135&gt;0,(J135/100)+1,(100/((-1)*J135))+1)))*(IF(K135="",1,IF(K135&gt;0,(K135/100)+1,(100/((-1)*K135))+1)))*(IF(L135="",1,IF(L135&gt;0,(L135/100)+1,(100/((-1)*L135))+1))))-1)),((((IF(C135="",1,IF(C135&gt;0,(C135/100)+1,(100/((-1)*C135))+1)))*(IF(D135="",1,IF(D135&gt;0,(D135/100)+1,(100/((-1)*D135))+1)))*(IF(E135="",1,IF(E135&gt;0,(E135/100)+1,(100/((-1)*E135))+1)))*(IF(F135="",1,IF(F135&gt;0,(F135/100)+1,(100/((-1)*F135))+1)))*(IF(G135="",1,IF(G135&gt;0,(G135/100)+1,(100/((-1)*G135))+1)))*(IF(H135="",1,IF(H135&gt;0,(H135/100)+1,(100/((-1)*H135))+1)))*(IF(I135="",1,IF(I135&gt;0,(I135/100)+1,(100/((-1)*I135))+1)))*(IF(J135="",1,IF(J135&gt;0,(J135/100)+1,(100/((-1)*J135))+1)))*(IF(K135="",1,IF(K135&gt;0,(K135/100)+1,(100/((-1)*K135))+1)))*(IF(L135="",1,IF(L135&gt;0,(L135/100)+1,(100/((-1)*L135))+1))))-1)*(100))))))*10),(((IF(((IF(C135="",1,IF(C135&gt;0,(C135/100)+1,(100/((-1)*C135))+1)))*(IF(D135="",1,IF(D135&gt;0,(D135/100)+1,(100/((-1)*D135))+1)))*(IF(E135="",1,IF(E135&gt;0,(E135/100)+1,(100/((-1)*E135))+1)))*(IF(F135="",1,IF(F135&gt;0,(F135/100)+1,(100/((-1)*F135))+1)))*(IF(G135="",1,IF(G135&gt;0,(G135/100)+1,(100/((-1)*G135))+1)))*(IF(H135="",1,IF(H135&gt;0,(H135/100)+1,(100/((-1)*H135))+1)))*(IF(I135="",1,IF(I135&gt;0,(I135/100)+1,(100/((-1)*I135))+1)))*(IF(J135="",1,IF(J135&gt;0,(J135/100)+1,(100/((-1)*J135))+1)))*(IF(K135="",1,IF(K135&gt;0,(K135/100)+1,(100/((-1)*K135))+1)))*(IF(L135="",1,IF(L135&gt;0,(L135/100)+1,(100/((-1)*L135))+1))))&lt;2,((-100)/(((IF(C135="",1,IF(C135&gt;0,(C135/100)+1,(100/((-1)*C135))+1)))*(IF(D135="",1,IF(D135&gt;0,(D135/100)+1,(100/((-1)*D135))+1)))*(IF(E135="",1,IF(E135&gt;0,(E135/100)+1,(100/((-1)*E135))+1)))*(IF(F135="",1,IF(F135&gt;0,(F135/100)+1,(100/((-1)*F135))+1)))*(IF(G135="",1,IF(G135&gt;0,(G135/100)+1,(100/((-1)*G135))+1)))*(IF(H135="",1,IF(H135&gt;0,(H135/100)+1,(100/((-1)*H135))+1)))*(IF(I135="",1,IF(I135&gt;0,(I135/100)+1,(100/((-1)*I135))+1)))*(IF(J135="",1,IF(J135&gt;0,(J135/100)+1,(100/((-1)*J135))+1)))*(IF(K135="",1,IF(K135&gt;0,(K135/100)+1,(100/((-1)*K135))+1)))*(IF(L135="",1,IF(L135&gt;0,(L135/100)+1,(100/((-1)*L135))+1))))-1)),((((IF(C135="",1,IF(C135&gt;0,(C135/100)+1,(100/((-1)*C135))+1)))*(IF(D135="",1,IF(D135&gt;0,(D135/100)+1,(100/((-1)*D135))+1)))*(IF(E135="",1,IF(E135&gt;0,(E135/100)+1,(100/((-1)*E135))+1)))*(IF(F135="",1,IF(F135&gt;0,(F135/100)+1,(100/((-1)*F135))+1)))*(IF(G135="",1,IF(G135&gt;0,(G135/100)+1,(100/((-1)*G135))+1)))*(IF(H135="",1,IF(H135&gt;0,(H135/100)+1,(100/((-1)*H135))+1)))*(IF(I135="",1,IF(I135&gt;0,(I135/100)+1,(100/((-1)*I135))+1)))*(IF(J135="",1,IF(J135&gt;0,(J135/100)+1,(100/((-1)*J135))+1)))*(IF(K135="",1,IF(K135&gt;0,(K135/100)+1,(100/((-1)*K135))+1)))*(IF(L135="",1,IF(L135&gt;0,(L135/100)+1,(100/((-1)*L135))+1))))-1)*(100))))/100)*10)))</f>
        <v>8953.992795</v>
      </c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 ht="16.5" customHeight="1">
      <c r="A136" s="3" t="s">
        <v>37</v>
      </c>
      <c r="B136" s="2"/>
      <c r="C136" s="5" t="s">
        <v>636</v>
      </c>
      <c r="D136" s="5" t="s">
        <v>637</v>
      </c>
      <c r="E136" s="5" t="s">
        <v>638</v>
      </c>
      <c r="F136" s="5" t="s">
        <v>639</v>
      </c>
      <c r="G136" s="5" t="s">
        <v>640</v>
      </c>
      <c r="H136" s="5" t="s">
        <v>641</v>
      </c>
      <c r="I136" s="5" t="s">
        <v>642</v>
      </c>
      <c r="J136" s="5" t="s">
        <v>643</v>
      </c>
      <c r="K136" s="5" t="s">
        <v>644</v>
      </c>
      <c r="L136" s="5" t="s">
        <v>384</v>
      </c>
      <c r="M136" s="2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 ht="16.5" customHeight="1">
      <c r="A137" s="3" t="s">
        <v>48</v>
      </c>
      <c r="B137" s="2"/>
      <c r="C137" s="5" t="s">
        <v>645</v>
      </c>
      <c r="D137" s="5" t="s">
        <v>646</v>
      </c>
      <c r="E137" s="5" t="s">
        <v>647</v>
      </c>
      <c r="F137" s="4"/>
      <c r="G137" s="11">
        <v>45590.0</v>
      </c>
      <c r="H137" s="5" t="s">
        <v>73</v>
      </c>
      <c r="I137" s="5" t="s">
        <v>646</v>
      </c>
      <c r="J137" s="5" t="s">
        <v>648</v>
      </c>
      <c r="K137" s="5" t="s">
        <v>649</v>
      </c>
      <c r="L137" s="5" t="s">
        <v>649</v>
      </c>
      <c r="M137" s="2"/>
      <c r="N137" s="4"/>
      <c r="O137" s="3" t="s">
        <v>56</v>
      </c>
      <c r="P137" s="3" t="s">
        <v>57</v>
      </c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 ht="16.5" customHeight="1">
      <c r="A138" s="3" t="s">
        <v>59</v>
      </c>
      <c r="B138" s="2"/>
      <c r="C138" s="5" t="s">
        <v>62</v>
      </c>
      <c r="D138" s="5" t="s">
        <v>60</v>
      </c>
      <c r="E138" s="5" t="s">
        <v>62</v>
      </c>
      <c r="F138" s="5" t="s">
        <v>60</v>
      </c>
      <c r="G138" s="5" t="s">
        <v>62</v>
      </c>
      <c r="H138" s="5" t="s">
        <v>62</v>
      </c>
      <c r="I138" s="5" t="s">
        <v>62</v>
      </c>
      <c r="J138" s="5" t="s">
        <v>60</v>
      </c>
      <c r="K138" s="5" t="s">
        <v>62</v>
      </c>
      <c r="L138" s="5" t="s">
        <v>62</v>
      </c>
      <c r="M138" s="2"/>
      <c r="N138" s="3" t="s">
        <v>65</v>
      </c>
      <c r="O138" s="12" t="str">
        <f>IFERROR(__xludf.DUMMYFUNCTION("IF(OR(COUNTA(C135:L135) = 0, COUNTA(C138:L138) = 0), """", IFERROR(TEXTJOIN("", "", TRUE, FILTER(C132:L132, (C138:L138 = ""W"") * (C135:L135 = MAX(FILTER(C135:L135, C138:L138 = ""W""))))), """"))"),"Dan")</f>
        <v>Dan</v>
      </c>
      <c r="P138" s="12" t="str">
        <f>IFERROR(__xludf.DUMMYFUNCTION("IF(COUNTA(C143:L143) = 0, """", IFERROR(TEXTJOIN("", "", TRUE, FILTER(C132:L132, C143:L143 = MAX(C143:L143))), """"))"),"Dan")</f>
        <v>Dan</v>
      </c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 ht="16.5" customHeight="1">
      <c r="A139" s="1" t="s">
        <v>81</v>
      </c>
      <c r="B139" s="2"/>
      <c r="C139" s="4">
        <f t="shared" ref="C139:L139" si="41">IF(OR(C135="",C138=""),"",C126+COUNTIF(C138,"W"))</f>
        <v>6</v>
      </c>
      <c r="D139" s="4">
        <f t="shared" si="41"/>
        <v>9</v>
      </c>
      <c r="E139" s="4">
        <f t="shared" si="41"/>
        <v>7</v>
      </c>
      <c r="F139" s="4">
        <f t="shared" si="41"/>
        <v>9</v>
      </c>
      <c r="G139" s="4">
        <f t="shared" si="41"/>
        <v>5</v>
      </c>
      <c r="H139" s="4">
        <f t="shared" si="41"/>
        <v>7</v>
      </c>
      <c r="I139" s="4">
        <f t="shared" si="41"/>
        <v>4</v>
      </c>
      <c r="J139" s="4">
        <f t="shared" si="41"/>
        <v>7</v>
      </c>
      <c r="K139" s="4">
        <f t="shared" si="41"/>
        <v>3</v>
      </c>
      <c r="L139" s="4">
        <f t="shared" si="41"/>
        <v>8</v>
      </c>
      <c r="M139" s="2"/>
      <c r="N139" s="3" t="s">
        <v>82</v>
      </c>
      <c r="O139" s="4" t="str">
        <f>IFERROR(__xludf.DUMMYFUNCTION("IF(OR(COUNTA(C135:L135) = 0, COUNTA(C138:L138) = 0), """", IFERROR(TEXTJOIN("", "", TRUE, FILTER(C132:L132, (C138:L138 = ""L"") * (C135:L135 = MIN(FILTER(C135:L135, C138:L138 = ""L""))))), """"))"),"Austin")</f>
        <v>Austin</v>
      </c>
      <c r="P139" s="12" t="str">
        <f>IFERROR(__xludf.DUMMYFUNCTION("IF(COUNTA(C143:L143) = 0, """", IFERROR(TEXTJOIN("", "", TRUE, FILTER(C132:L132, C143:L143 = MIN(C143:L143))), """"))"),"Taylon")</f>
        <v>Taylon</v>
      </c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 ht="16.5" customHeight="1">
      <c r="A140" s="1" t="s">
        <v>83</v>
      </c>
      <c r="B140" s="2"/>
      <c r="C140" s="27">
        <f t="shared" ref="C140:L140" si="42">IF(OR(C135="",C138=""),"",C127+COUNTIF(C138,"L"))</f>
        <v>5</v>
      </c>
      <c r="D140" s="27">
        <f t="shared" si="42"/>
        <v>2</v>
      </c>
      <c r="E140" s="27">
        <f t="shared" si="42"/>
        <v>4</v>
      </c>
      <c r="F140" s="27">
        <f t="shared" si="42"/>
        <v>2</v>
      </c>
      <c r="G140" s="27">
        <f t="shared" si="42"/>
        <v>6</v>
      </c>
      <c r="H140" s="27">
        <f t="shared" si="42"/>
        <v>4</v>
      </c>
      <c r="I140" s="27">
        <f t="shared" si="42"/>
        <v>7</v>
      </c>
      <c r="J140" s="27">
        <f t="shared" si="42"/>
        <v>4</v>
      </c>
      <c r="K140" s="27">
        <f t="shared" si="42"/>
        <v>8</v>
      </c>
      <c r="L140" s="27">
        <f t="shared" si="42"/>
        <v>3</v>
      </c>
      <c r="M140" s="2"/>
      <c r="N140" s="3" t="s">
        <v>84</v>
      </c>
      <c r="O140" s="12" t="str">
        <f>IFERROR(__xludf.DUMMYFUNCTION("IF(COUNTA(C135:L135) = 0, """", IFERROR(TEXTJOIN("", "", TRUE, FILTER(C132:L132, C135:L135 = MAX(C135:L135))), """"))"),"Jake")</f>
        <v>Jake</v>
      </c>
      <c r="P140" s="4" t="str">
        <f>IFERROR(__xludf.DUMMYFUNCTION("IF(COUNTA(C135:L135) = 0, """", IFERROR(TEXTJOIN("", "", TRUE, FILTER(C132:L132, C142:L142 = MAX(C142:L142))), """"))"),"Jake")</f>
        <v>Jake</v>
      </c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 ht="16.5" customHeight="1">
      <c r="A141" s="3" t="s">
        <v>85</v>
      </c>
      <c r="B141" s="2"/>
      <c r="C141" s="24">
        <f t="shared" ref="C141:L141" si="43">IF(OR(C135="",C138=""),"",(C139/(C139+C140)))</f>
        <v>0.5454545455</v>
      </c>
      <c r="D141" s="24">
        <f t="shared" si="43"/>
        <v>0.8181818182</v>
      </c>
      <c r="E141" s="24">
        <f t="shared" si="43"/>
        <v>0.6363636364</v>
      </c>
      <c r="F141" s="24">
        <f t="shared" si="43"/>
        <v>0.8181818182</v>
      </c>
      <c r="G141" s="24">
        <f t="shared" si="43"/>
        <v>0.4545454545</v>
      </c>
      <c r="H141" s="24">
        <f t="shared" si="43"/>
        <v>0.6363636364</v>
      </c>
      <c r="I141" s="24">
        <f t="shared" si="43"/>
        <v>0.3636363636</v>
      </c>
      <c r="J141" s="24">
        <f t="shared" si="43"/>
        <v>0.6363636364</v>
      </c>
      <c r="K141" s="24">
        <f t="shared" si="43"/>
        <v>0.2727272727</v>
      </c>
      <c r="L141" s="24">
        <f t="shared" si="43"/>
        <v>0.7272727273</v>
      </c>
      <c r="M141" s="14"/>
      <c r="N141" s="3" t="s">
        <v>86</v>
      </c>
      <c r="O141" s="4" t="str">
        <f>IFERROR(__xludf.DUMMYFUNCTION("IF(COUNTA(C135:L135) = 0, """", IFERROR(TEXTJOIN("", "", TRUE, FILTER(C132:L132, C135:L135 = MIN(C135:L135))), """"))"),"Austin")</f>
        <v>Austin</v>
      </c>
      <c r="P141" s="4" t="str">
        <f>IFERROR(__xludf.DUMMYFUNCTION("IF(COUNTA(C135:L135) = 0, """", IFERROR(TEXTJOIN("", "", TRUE, FILTER(C132:L132, C142:L142 = MIN(C142:L142))), """"))"),"Carson")</f>
        <v>Carson</v>
      </c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 ht="16.5" customHeight="1">
      <c r="A142" s="3" t="s">
        <v>87</v>
      </c>
      <c r="B142" s="2"/>
      <c r="C142" s="25">
        <f t="shared" ref="C142:L142" si="44">IF(C135="","",IF(((IF(C135 &lt;0,((-100/C135)+1),((C135/100)+1))+(IF(C129&lt;0,((-100/C129)+1),((C129/100)+1)))*(C126+C127))/(C126+C127+1))&lt;2,(-100/(((IF(C135 &lt;0,((-100/C135)+1),((C135/100)+1))+(IF(C129&lt;0,((-100/C129)+1),((C129/100)+1)))*(C126+C127))/(C126+C127+1))-1)),(((IF(C135 &lt;0,((-100/C135)+1),((C135/100)+1))+(IF(C129&lt;0,((-100/C129)+1),((C129/100)+1)))*(C126+C127))/(C126+C127+1))-1)*100))</f>
        <v>-116.3175767</v>
      </c>
      <c r="D142" s="25">
        <f t="shared" si="44"/>
        <v>-136.5770078</v>
      </c>
      <c r="E142" s="25">
        <f t="shared" si="44"/>
        <v>-109.9153609</v>
      </c>
      <c r="F142" s="25">
        <f t="shared" si="44"/>
        <v>-126.420497</v>
      </c>
      <c r="G142" s="25">
        <f t="shared" si="44"/>
        <v>103.3643063</v>
      </c>
      <c r="H142" s="25">
        <f t="shared" si="44"/>
        <v>105.0162551</v>
      </c>
      <c r="I142" s="25">
        <f t="shared" si="44"/>
        <v>-119.7370731</v>
      </c>
      <c r="J142" s="25">
        <f t="shared" si="44"/>
        <v>-111.87682</v>
      </c>
      <c r="K142" s="25">
        <f t="shared" si="44"/>
        <v>-114.9896008</v>
      </c>
      <c r="L142" s="25">
        <f t="shared" si="44"/>
        <v>-103.9286542</v>
      </c>
      <c r="M142" s="14"/>
      <c r="N142" s="4"/>
      <c r="O142" s="12"/>
      <c r="P142" s="12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>
      <c r="A143" s="16" t="s">
        <v>88</v>
      </c>
      <c r="B143" s="2"/>
      <c r="C143" s="26">
        <f>IFERROR(__xludf.DUMMYFUNCTION("IF(OR(C135="""",C138=""""),"""",IF(REGEXMATCH(C138,""W""),IF(C135&lt;0,((-100/C135))*10+C130,((C135/100)*10+C130)),-10+C130))"),-0.864807380075824)</f>
        <v>-0.8648073801</v>
      </c>
      <c r="D143" s="26">
        <f>IFERROR(__xludf.DUMMYFUNCTION("IF(OR(D135="""",D138=""""),"""",IF(REGEXMATCH(D138,""W""),IF(D135&lt;0,((-100/D135))*10+D130,((D135/100)*10+D130)),-10+D130))"),43.13323538793156)</f>
        <v>43.13323539</v>
      </c>
      <c r="E143" s="26">
        <f>IFERROR(__xludf.DUMMYFUNCTION("IF(OR(E135="""",E138=""""),"""",IF(REGEXMATCH(E138,""W""),IF(E135&lt;0,((-100/E135))*10+E130,((E135/100)*10+E130)),-10+E130))"),25.254877134889924)</f>
        <v>25.25487713</v>
      </c>
      <c r="F143" s="26">
        <f>IFERROR(__xludf.DUMMYFUNCTION("IF(OR(F135="""",F138=""""),"""",IF(REGEXMATCH(F138,""W""),IF(F135&lt;0,((-100/F135))*10+F130,((F135/100)*10+F130)),-10+F130))"),48.47787337319414)</f>
        <v>48.47787337</v>
      </c>
      <c r="G143" s="26">
        <f>IFERROR(__xludf.DUMMYFUNCTION("IF(OR(G135="""",G138=""""),"""",IF(REGEXMATCH(G138,""W""),IF(G135&lt;0,((-100/G135))*10+G130,((G135/100)*10+G130)),-10+G130))"),-20.53076256129021)</f>
        <v>-20.53076256</v>
      </c>
      <c r="H143" s="26">
        <f>IFERROR(__xludf.DUMMYFUNCTION("IF(OR(H135="""",H138=""""),"""",IF(REGEXMATCH(H138,""W""),IF(H135&lt;0,((-100/H135))*10+H130,((H135/100)*10+H130)),-10+H130))"),25.801763401309024)</f>
        <v>25.8017634</v>
      </c>
      <c r="I143" s="26">
        <f>IFERROR(__xludf.DUMMYFUNCTION("IF(OR(I135="""",I138=""""),"""",IF(REGEXMATCH(I138,""W""),IF(I135&lt;0,((-100/I135))*10+I130,((I135/100)*10+I130)),-10+I130))"),-44.97592091620274)</f>
        <v>-44.97592092</v>
      </c>
      <c r="J143" s="26">
        <f>IFERROR(__xludf.DUMMYFUNCTION("IF(OR(J135="""",J138=""""),"""",IF(REGEXMATCH(J138,""W""),IF(J135&lt;0,((-100/J135))*10+J130,((J135/100)*10+J130)),-10+J130))"),23.485574999953663)</f>
        <v>23.485575</v>
      </c>
      <c r="K143" s="26">
        <f>IFERROR(__xludf.DUMMYFUNCTION("IF(OR(K135="""",K138=""""),"""",IF(REGEXMATCH(K138,""W""),IF(K135&lt;0,((-100/K135))*10+K130,((K135/100)*10+K130)),-10+K130))"),-54.139392073197556)</f>
        <v>-54.13939207</v>
      </c>
      <c r="L143" s="26">
        <f>IFERROR(__xludf.DUMMYFUNCTION("IF(OR(L135="""",L138=""""),"""",IF(REGEXMATCH(L138,""W""),IF(L135&lt;0,((-100/L135))*10+L130,((L135/100)*10+L130)),-10+L130))"),46.17054256111233)</f>
        <v>46.17054256</v>
      </c>
      <c r="M143" s="14"/>
      <c r="N143" s="16" t="s">
        <v>89</v>
      </c>
      <c r="O143" s="10">
        <f>IFERROR(__xludf.DUMMYFUNCTION("IF(AND(C143="""",AND(D143="""",AND(E143="""",AND(F143="""",AND(G143="""",AND(H143="""",AND(I143="""",AND(J143="""",AND(K143="""",L143=""""))))))))),"""",(IF(C138="""",0,IF(REGEXMATCH(C138,""W""),IF(C135&lt;0,((-100/C135))*10,((C135/100)*10)),-10))+IF(D138="""&amp;""",0,IF(REGEXMATCH(D138,""W""),IF(D135&lt;0,((-100/D135))*10,((D135/100)*10)),-10))+IF(E138="""",0,IF(REGEXMATCH(E138,""W""),IF(E135&lt;0,((-100/E135))*10,((E135/100)*10)),-10))+IF(F138="""",0,IF(REGEXMATCH(F138,""W""),IF(F135&lt;0,((-100/F135))*10,((F135/100)*10)"&amp;"),-10))+IF(G138="""",0,IF(REGEXMATCH(G138,""W""),IF(G135&lt;0,((-100/G135))*10,((G135/100)*10)),-10))+IF(H138="""",0,IF(REGEXMATCH(H138,""W""),IF(H135&lt;0,((-100/H135))*10,((H135/100)*10)),-10))+IF(I138="""",0,IF(REGEXMATCH(I138,""W""),IF(I135&lt;0,((-100/I135))*"&amp;"10,((I135/100)*10)),-10))+IF(J138="""",0,IF(REGEXMATCH(J138,""W""),IF(J135&lt;0,((-100/J135))*10,((J135/100)*10)),-10))+IF(K138="""",0,IF(REGEXMATCH(K138,""W""),IF(K135&lt;0,((-100/K135))*10,((K135/100)*10)),-10))+IF(L138="""",0,IF(REGEXMATCH(L138,""W""),IF(L13"&amp;"5&lt;0,((-100/L135))*10,((L135/100)*10)),-10))))"),-50.90299951620706)</f>
        <v>-50.90299952</v>
      </c>
      <c r="P143" s="10">
        <f>IFERROR(__xludf.DUMMYFUNCTION("IF(AND(C143="""",AND(D143="""",AND(E143="""",AND(F143="""",AND(G143="""",AND(H143="""",AND(I143="""",AND(J143="""",AND(K143="""",L143=""""))))))))),"""",(P130+IF(C138="""",0,IF(REGEXMATCH(C138,""W""),IF(C135&lt;0,((-100/C135))*10,((C135/100)*10)),-10))+IF(D1"&amp;"38="""",0,IF(REGEXMATCH(D138,""W""),IF(D135&lt;0,((-100/D135))*10,((D135/100)*10)),-10))+IF(E138="""",0,IF(REGEXMATCH(E138,""W""),IF(E135&lt;0,((-100/E135))*10,((E135/100)*10)),-10))+IF(F138="""",0,IF(REGEXMATCH(F138,""W""),IF(F135&lt;0,((-100/F135))*10,((F135/100"&amp;")*10)),-10))+IF(G138="""",0,IF(REGEXMATCH(G138,""W""),IF(G135&lt;0,((-100/G135))*10,((G135/100)*10)),-10))+IF(H138="""",0,IF(REGEXMATCH(H138,""W""),IF(H135&lt;0,((-100/H135))*10,((H135/100)*10)),-10))+IF(I138="""",0,IF(REGEXMATCH(I138,""W""),IF(I135&lt;0,((-100/I1"&amp;"35))*10,((I135/100)*10)),-10))+IF(J138="""",0,IF(REGEXMATCH(J138,""W""),IF(J135&lt;0,((-100/J135))*10,((J135/100)*10)),-10))+IF(K138="""",0,IF(REGEXMATCH(K138,""W""),IF(K135&lt;0,((-100/K135))*10,((K135/100)*10)),-10))+IF(L138="""",0,IF(REGEXMATCH(L138,""W""),I"&amp;"F(L135&lt;0,((-100/L135))*10,((L135/100)*10)),-10))))"),91.81298392762426)</f>
        <v>91.81298393</v>
      </c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 ht="16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 ht="16.5" customHeight="1">
      <c r="A145" s="31" t="s">
        <v>667</v>
      </c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 ht="16.5" customHeight="1"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 ht="16.5" customHeight="1"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 ht="16.5" customHeight="1">
      <c r="A148" s="1" t="s">
        <v>0</v>
      </c>
      <c r="B148" s="2"/>
      <c r="C148" s="3" t="s">
        <v>1</v>
      </c>
      <c r="D148" s="3" t="s">
        <v>2</v>
      </c>
      <c r="E148" s="3" t="s">
        <v>3</v>
      </c>
      <c r="F148" s="3" t="s">
        <v>4</v>
      </c>
      <c r="G148" s="3" t="s">
        <v>5</v>
      </c>
      <c r="H148" s="3" t="s">
        <v>6</v>
      </c>
      <c r="I148" s="3" t="s">
        <v>7</v>
      </c>
      <c r="J148" s="3" t="s">
        <v>8</v>
      </c>
      <c r="K148" s="3" t="s">
        <v>9</v>
      </c>
      <c r="L148" s="3" t="s">
        <v>10</v>
      </c>
      <c r="M148" s="2"/>
      <c r="N148" s="4"/>
      <c r="O148" s="3" t="s">
        <v>11</v>
      </c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 ht="16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 ht="16.5" customHeight="1">
      <c r="A150" s="3" t="s">
        <v>12</v>
      </c>
      <c r="B150" s="2"/>
      <c r="C150" s="12" t="str">
        <f>'2025'!C3</f>
        <v>Commanders -3.5</v>
      </c>
      <c r="D150" s="12" t="str">
        <f>'2025'!D3</f>
        <v>Steelers Moneyline</v>
      </c>
      <c r="E150" s="12" t="str">
        <f>'2025'!E3</f>
        <v>Panthers +3.5</v>
      </c>
      <c r="F150" s="12" t="str">
        <f>'2025'!F3</f>
        <v>Cardinals -6.5</v>
      </c>
      <c r="G150" s="12" t="str">
        <f>'2025'!G3</f>
        <v>B. Bowers 76+ Rec. Yards</v>
      </c>
      <c r="H150" s="12" t="str">
        <f>'2025'!H3</f>
        <v>Texans +2.5</v>
      </c>
      <c r="I150" s="12" t="str">
        <f>'2025'!I3</f>
        <v>J. Burrow Over 7.5 Rush Yards</v>
      </c>
      <c r="J150" s="12" t="str">
        <f>'2025'!J3</f>
        <v>Broncos -6.5</v>
      </c>
      <c r="K150" s="12" t="str">
        <f>'2025'!K3</f>
        <v>Seahawks Under 20.5 Points</v>
      </c>
      <c r="L150" s="12" t="str">
        <f>'2025'!L3</f>
        <v>J. Gibbs ATD</v>
      </c>
      <c r="M150" s="2"/>
      <c r="N150" s="3" t="s">
        <v>13</v>
      </c>
      <c r="O150" s="7">
        <f>IF(AND(C151="",AND(D151="",AND(E151="",AND(F151="",AND(G151="",AND(H151="",AND(I151="",AND(J151="",AND(K151="",L151=""))))))))),"",IF(((IF(C151="",1,IF(C151&gt;0,(C151/100)+1,(100/((-1)*C151))+1)))*(IF(D151="",1,IF(D151&gt;0,(D151/100)+1,(100/((-1)*D151))+1)))*(IF(E151="",1,IF(E151&gt;0,(E151/100)+1,(100/((-1)*E151))+1)))*(IF(F151="",1,IF(F151&gt;0,(F151/100)+1,(100/((-1)*F151))+1)))*(IF(G151="",1,IF(G151&gt;0,(G151/100)+1,(100/((-1)*G151))+1)))*(IF(H151="",1,IF(H151&gt;0,(H151/100)+1,(100/((-1)*H151))+1)))*(IF(I151="",1,IF(I151&gt;0,(I151/100)+1,(100/((-1)*I151))+1)))*(IF(J151="",1,IF(J151&gt;0,(J151/100)+1,(100/((-1)*J151))+1)))*(IF(K151="",1,IF(K151&gt;0,(K151/100)+1,(100/((-1)*K151))+1)))*(IF(L151="",1,IF(L151&gt;0,(L151/100)+1,(100/((-1)*L151))+1))))&lt;2,((-100)/(((IF(C151="",1,IF(C151&gt;0,(C151/100)+1,(100/((-1)*C151))+1)))*(IF(D151="",1,IF(D151&gt;0,(D151/100)+1,(100/((-1)*D151))+1)))*(IF(E151="",1,IF(E151&gt;0,(E151/100)+1,(100/((-1)*E151))+1)))*(IF(F151="",1,IF(F151&gt;0,(F151/100)+1,(100/((-1)*F151))+1)))*(IF(G151="",1,IF(G151&gt;0,(G151/100)+1,(100/((-1)*G151))+1)))*(IF(H151="",1,IF(H151&gt;0,(H151/100)+1,(100/((-1)*H151))+1)))*(IF(I151="",1,IF(I151&gt;0,(I151/100)+1,(100/((-1)*I151))+1)))*(IF(J151="",1,IF(J151&gt;0,(J151/100)+1,(100/((-1)*J151))+1)))*(IF(K151="",1,IF(K151&gt;0,(K151/100)+1,(100/((-1)*K151))+1)))*(IF(L151="",1,IF(L151&gt;0,(L151/100)+1,(100/((-1)*L151))+1))))-1)),((((IF(C151="",1,IF(C151&gt;0,(C151/100)+1,(100/((-1)*C151))+1)))*(IF(D151="",1,IF(D151&gt;0,(D151/100)+1,(100/((-1)*D151))+1)))*(IF(E151="",1,IF(E151&gt;0,(E151/100)+1,(100/((-1)*E151))+1)))*(IF(F151="",1,IF(F151&gt;0,(F151/100)+1,(100/((-1)*F151))+1)))*(IF(G151="",1,IF(G151&gt;0,(G151/100)+1,(100/((-1)*G151))+1)))*(IF(H151="",1,IF(H151&gt;0,(H151/100)+1,(100/((-1)*H151))+1)))*(IF(I151="",1,IF(I151&gt;0,(I151/100)+1,(100/((-1)*I151))+1)))*(IF(J151="",1,IF(J151&gt;0,(J151/100)+1,(100/((-1)*J151))+1)))*(IF(K151="",1,IF(K151&gt;0,(K151/100)+1,(100/((-1)*K151))+1)))*(IF(L151="",1,IF(L151&gt;0,(L151/100)+1,(100/((-1)*L151))+1))))-1)*(100))))</f>
        <v>41962.6646</v>
      </c>
      <c r="P150" s="4"/>
      <c r="Q150" s="8" t="s">
        <v>35</v>
      </c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 ht="16.5" customHeight="1">
      <c r="A151" s="3" t="s">
        <v>13</v>
      </c>
      <c r="B151" s="2"/>
      <c r="C151" s="18">
        <f>'2025'!C4</f>
        <v>-159</v>
      </c>
      <c r="D151" s="18">
        <f>'2025'!D4</f>
        <v>-167</v>
      </c>
      <c r="E151" s="18">
        <f>'2025'!E4</f>
        <v>-109</v>
      </c>
      <c r="F151" s="18">
        <f>'2025'!F4</f>
        <v>-115</v>
      </c>
      <c r="G151" s="18">
        <f>'2025'!G4</f>
        <v>118</v>
      </c>
      <c r="H151" s="18">
        <f>'2025'!H4</f>
        <v>115</v>
      </c>
      <c r="I151" s="18">
        <f>'2025'!I4</f>
        <v>-118</v>
      </c>
      <c r="J151" s="18">
        <f>'2025'!J4</f>
        <v>-167</v>
      </c>
      <c r="K151" s="18">
        <f>'2025'!K4</f>
        <v>-115</v>
      </c>
      <c r="L151" s="18">
        <f>'2025'!L4</f>
        <v>-135</v>
      </c>
      <c r="M151" s="2">
        <v>1.0</v>
      </c>
      <c r="N151" s="3" t="s">
        <v>36</v>
      </c>
      <c r="O151" s="10">
        <f>IF(AND(C151="",AND(D151="",AND(E151="",AND(F151="",AND(G151="",AND(H151="",AND(I151="",AND(J151="",AND(K151="",L151=""))))))))),"",10+IF((IF(((IF(C151="",1,IF(C151&gt;0,(C151/100)+1,(100/((-1)*C151))+1)))*(IF(D151="",1,IF(D151&gt;0,(D151/100)+1,(100/((-1)*D151))+1)))*(IF(E151="",1,IF(E151&gt;0,(E151/100)+1,(100/((-1)*E151))+1)))*(IF(F151="",1,IF(F151&gt;0,(F151/100)+1,(100/((-1)*F151))+1)))*(IF(G151="",1,IF(G151&gt;0,(G151/100)+1,(100/((-1)*G151))+1)))*(IF(H151="",1,IF(H151&gt;0,(H151/100)+1,(100/((-1)*H151))+1)))*(IF(I151="",1,IF(I151&gt;0,(I151/100)+1,(100/((-1)*I151))+1)))*(IF(J151="",1,IF(J151&gt;0,(J151/100)+1,(100/((-1)*J151))+1)))*(IF(K151="",1,IF(K151&gt;0,(K151/100)+1,(100/((-1)*K151))+1)))*(IF(L151="",1,IF(L151&gt;0,(L151/100)+1,(100/((-1)*L151))+1))))&lt;2,((-100)/(((IF(C151="",1,IF(C151&gt;0,(C151/100)+1,(100/((-1)*C151))+1)))*(IF(D151="",1,IF(D151&gt;0,(D151/100)+1,(100/((-1)*D151))+1)))*(IF(E151="",1,IF(E151&gt;0,(E151/100)+1,(100/((-1)*E151))+1)))*(IF(F151="",1,IF(F151&gt;0,(F151/100)+1,(100/((-1)*F151))+1)))*(IF(G151="",1,IF(G151&gt;0,(G151/100)+1,(100/((-1)*G151))+1)))*(IF(H151="",1,IF(H151&gt;0,(H151/100)+1,(100/((-1)*H151))+1)))*(IF(I151="",1,IF(I151&gt;0,(I151/100)+1,(100/((-1)*I151))+1)))*(IF(J151="",1,IF(J151&gt;0,(J151/100)+1,(100/((-1)*J151))+1)))*(IF(K151="",1,IF(K151&gt;0,(K151/100)+1,(100/((-1)*K151))+1)))*(IF(L151="",1,IF(L151&gt;0,(L151/100)+1,(100/((-1)*L151))+1))))-1)),((((IF(C151="",1,IF(C151&gt;0,(C151/100)+1,(100/((-1)*C151))+1)))*(IF(D151="",1,IF(D151&gt;0,(D151/100)+1,(100/((-1)*D151))+1)))*(IF(E151="",1,IF(E151&gt;0,(E151/100)+1,(100/((-1)*E151))+1)))*(IF(F151="",1,IF(F151&gt;0,(F151/100)+1,(100/((-1)*F151))+1)))*(IF(G151="",1,IF(G151&gt;0,(G151/100)+1,(100/((-1)*G151))+1)))*(IF(H151="",1,IF(H151&gt;0,(H151/100)+1,(100/((-1)*H151))+1)))*(IF(I151="",1,IF(I151&gt;0,(I151/100)+1,(100/((-1)*I151))+1)))*(IF(J151="",1,IF(J151&gt;0,(J151/100)+1,(100/((-1)*J151))+1)))*(IF(K151="",1,IF(K151&gt;0,(K151/100)+1,(100/((-1)*K151))+1)))*(IF(L151="",1,IF(L151&gt;0,(L151/100)+1,(100/((-1)*L151))+1))))-1)*(100))))&lt;0,(((-100)/((IF(((IF(C151="",1,IF(C151&gt;0,(C151/100)+1,(100/((-1)*C151))+1)))*(IF(D151="",1,IF(D151&gt;0,(D151/100)+1,(100/((-1)*D151))+1)))*(IF(E151="",1,IF(E151&gt;0,(E151/100)+1,(100/((-1)*E151))+1)))*(IF(F151="",1,IF(F151&gt;0,(F151/100)+1,(100/((-1)*F151))+1)))*(IF(G151="",1,IF(G151&gt;0,(G151/100)+1,(100/((-1)*G151))+1)))*(IF(H151="",1,IF(H151&gt;0,(H151/100)+1,(100/((-1)*H151))+1)))*(IF(I151="",1,IF(I151&gt;0,(I151/100)+1,(100/((-1)*I151))+1)))*(IF(J151="",1,IF(J151&gt;0,(J151/100)+1,(100/((-1)*J151))+1)))*(IF(K151="",1,IF(K151&gt;0,(K151/100)+1,(100/((-1)*K151))+1)))*(IF(L151="",1,IF(L151&gt;0,(L151/100)+1,(100/((-1)*L151))+1))))&lt;2,((-100)/(((IF(C151="",1,IF(C151&gt;0,(C151/100)+1,(100/((-1)*C151))+1)))*(IF(D151="",1,IF(D151&gt;0,(D151/100)+1,(100/((-1)*D151))+1)))*(IF(E151="",1,IF(E151&gt;0,(E151/100)+1,(100/((-1)*E151))+1)))*(IF(F151="",1,IF(F151&gt;0,(F151/100)+1,(100/((-1)*F151))+1)))*(IF(G151="",1,IF(G151&gt;0,(G151/100)+1,(100/((-1)*G151))+1)))*(IF(H151="",1,IF(H151&gt;0,(H151/100)+1,(100/((-1)*H151))+1)))*(IF(I151="",1,IF(I151&gt;0,(I151/100)+1,(100/((-1)*I151))+1)))*(IF(J151="",1,IF(J151&gt;0,(J151/100)+1,(100/((-1)*J151))+1)))*(IF(K151="",1,IF(K151&gt;0,(K151/100)+1,(100/((-1)*K151))+1)))*(IF(L151="",1,IF(L151&gt;0,(L151/100)+1,(100/((-1)*L151))+1))))-1)),((((IF(C151="",1,IF(C151&gt;0,(C151/100)+1,(100/((-1)*C151))+1)))*(IF(D151="",1,IF(D151&gt;0,(D151/100)+1,(100/((-1)*D151))+1)))*(IF(E151="",1,IF(E151&gt;0,(E151/100)+1,(100/((-1)*E151))+1)))*(IF(F151="",1,IF(F151&gt;0,(F151/100)+1,(100/((-1)*F151))+1)))*(IF(G151="",1,IF(G151&gt;0,(G151/100)+1,(100/((-1)*G151))+1)))*(IF(H151="",1,IF(H151&gt;0,(H151/100)+1,(100/((-1)*H151))+1)))*(IF(I151="",1,IF(I151&gt;0,(I151/100)+1,(100/((-1)*I151))+1)))*(IF(J151="",1,IF(J151&gt;0,(J151/100)+1,(100/((-1)*J151))+1)))*(IF(K151="",1,IF(K151&gt;0,(K151/100)+1,(100/((-1)*K151))+1)))*(IF(L151="",1,IF(L151&gt;0,(L151/100)+1,(100/((-1)*L151))+1))))-1)*(100))))))*10),(((IF(((IF(C151="",1,IF(C151&gt;0,(C151/100)+1,(100/((-1)*C151))+1)))*(IF(D151="",1,IF(D151&gt;0,(D151/100)+1,(100/((-1)*D151))+1)))*(IF(E151="",1,IF(E151&gt;0,(E151/100)+1,(100/((-1)*E151))+1)))*(IF(F151="",1,IF(F151&gt;0,(F151/100)+1,(100/((-1)*F151))+1)))*(IF(G151="",1,IF(G151&gt;0,(G151/100)+1,(100/((-1)*G151))+1)))*(IF(H151="",1,IF(H151&gt;0,(H151/100)+1,(100/((-1)*H151))+1)))*(IF(I151="",1,IF(I151&gt;0,(I151/100)+1,(100/((-1)*I151))+1)))*(IF(J151="",1,IF(J151&gt;0,(J151/100)+1,(100/((-1)*J151))+1)))*(IF(K151="",1,IF(K151&gt;0,(K151/100)+1,(100/((-1)*K151))+1)))*(IF(L151="",1,IF(L151&gt;0,(L151/100)+1,(100/((-1)*L151))+1))))&lt;2,((-100)/(((IF(C151="",1,IF(C151&gt;0,(C151/100)+1,(100/((-1)*C151))+1)))*(IF(D151="",1,IF(D151&gt;0,(D151/100)+1,(100/((-1)*D151))+1)))*(IF(E151="",1,IF(E151&gt;0,(E151/100)+1,(100/((-1)*E151))+1)))*(IF(F151="",1,IF(F151&gt;0,(F151/100)+1,(100/((-1)*F151))+1)))*(IF(G151="",1,IF(G151&gt;0,(G151/100)+1,(100/((-1)*G151))+1)))*(IF(H151="",1,IF(H151&gt;0,(H151/100)+1,(100/((-1)*H151))+1)))*(IF(I151="",1,IF(I151&gt;0,(I151/100)+1,(100/((-1)*I151))+1)))*(IF(J151="",1,IF(J151&gt;0,(J151/100)+1,(100/((-1)*J151))+1)))*(IF(K151="",1,IF(K151&gt;0,(K151/100)+1,(100/((-1)*K151))+1)))*(IF(L151="",1,IF(L151&gt;0,(L151/100)+1,(100/((-1)*L151))+1))))-1)),((((IF(C151="",1,IF(C151&gt;0,(C151/100)+1,(100/((-1)*C151))+1)))*(IF(D151="",1,IF(D151&gt;0,(D151/100)+1,(100/((-1)*D151))+1)))*(IF(E151="",1,IF(E151&gt;0,(E151/100)+1,(100/((-1)*E151))+1)))*(IF(F151="",1,IF(F151&gt;0,(F151/100)+1,(100/((-1)*F151))+1)))*(IF(G151="",1,IF(G151&gt;0,(G151/100)+1,(100/((-1)*G151))+1)))*(IF(H151="",1,IF(H151&gt;0,(H151/100)+1,(100/((-1)*H151))+1)))*(IF(I151="",1,IF(I151&gt;0,(I151/100)+1,(100/((-1)*I151))+1)))*(IF(J151="",1,IF(J151&gt;0,(J151/100)+1,(100/((-1)*J151))+1)))*(IF(K151="",1,IF(K151&gt;0,(K151/100)+1,(100/((-1)*K151))+1)))*(IF(L151="",1,IF(L151&gt;0,(L151/100)+1,(100/((-1)*L151))+1))))-1)*(100))))/100)*10)))</f>
        <v>4206.26646</v>
      </c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 ht="16.5" customHeight="1">
      <c r="A152" s="3" t="s">
        <v>37</v>
      </c>
      <c r="B152" s="2"/>
      <c r="C152" s="18" t="str">
        <f>'2025'!C5</f>
        <v>Giants @ Commanders</v>
      </c>
      <c r="D152" s="18" t="str">
        <f>'2025'!D5</f>
        <v>Steelers @ Jets</v>
      </c>
      <c r="E152" s="18" t="str">
        <f>'2025'!E5</f>
        <v>Panthers @ Jaguars</v>
      </c>
      <c r="F152" s="18" t="str">
        <f>'2025'!F5</f>
        <v>Cardinals @ Saints</v>
      </c>
      <c r="G152" s="18" t="str">
        <f>'2025'!G5</f>
        <v>Raiders @ Patriots</v>
      </c>
      <c r="H152" s="18" t="str">
        <f>'2025'!H5</f>
        <v>Texans @ Rams</v>
      </c>
      <c r="I152" s="18" t="str">
        <f>'2025'!I5</f>
        <v>Bengals @ Browns</v>
      </c>
      <c r="J152" s="18" t="str">
        <f>'2025'!J5</f>
        <v>Titans @ Broncos</v>
      </c>
      <c r="K152" s="18" t="str">
        <f>'2025'!K5</f>
        <v>49ers @ Seahawks</v>
      </c>
      <c r="L152" s="18" t="str">
        <f>'2025'!L5</f>
        <v>Lions @ Packers</v>
      </c>
      <c r="M152" s="2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 ht="16.5" customHeight="1">
      <c r="A153" s="3" t="s">
        <v>48</v>
      </c>
      <c r="B153" s="2"/>
      <c r="C153" s="32">
        <f>'2025'!C6</f>
        <v>45829</v>
      </c>
      <c r="D153" s="18" t="str">
        <f>'2025'!D6</f>
        <v>34-32</v>
      </c>
      <c r="E153" s="32">
        <f>'2025'!E6</f>
        <v>45956</v>
      </c>
      <c r="F153" s="18" t="str">
        <f>'2025'!F6</f>
        <v>20-13</v>
      </c>
      <c r="G153" s="18" t="str">
        <f>'2025'!G6</f>
        <v>103 Rec. Yards</v>
      </c>
      <c r="H153" s="32">
        <f>'2025'!H6</f>
        <v>45914</v>
      </c>
      <c r="I153" s="18" t="str">
        <f>'2025'!I6</f>
        <v>3 Rush Yards</v>
      </c>
      <c r="J153" s="32">
        <f>'2025'!J6</f>
        <v>46011</v>
      </c>
      <c r="K153" s="18" t="str">
        <f>'2025'!K6</f>
        <v>17-13</v>
      </c>
      <c r="L153" s="18" t="str">
        <f>'2025'!L6</f>
        <v>0 TD</v>
      </c>
      <c r="M153" s="2"/>
      <c r="N153" s="4"/>
      <c r="O153" s="3" t="s">
        <v>56</v>
      </c>
      <c r="P153" s="3" t="s">
        <v>57</v>
      </c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 ht="16.5" customHeight="1">
      <c r="A154" s="3" t="s">
        <v>59</v>
      </c>
      <c r="B154" s="2"/>
      <c r="C154" s="18" t="str">
        <f>'2025'!C7</f>
        <v>W</v>
      </c>
      <c r="D154" s="18" t="str">
        <f>'2025'!D7</f>
        <v>W</v>
      </c>
      <c r="E154" s="18" t="str">
        <f>'2025'!E7</f>
        <v>L</v>
      </c>
      <c r="F154" s="18" t="str">
        <f>'2025'!F7</f>
        <v>W</v>
      </c>
      <c r="G154" s="18" t="str">
        <f>'2025'!G7</f>
        <v>W</v>
      </c>
      <c r="H154" s="18" t="str">
        <f>'2025'!H7</f>
        <v>L</v>
      </c>
      <c r="I154" s="18" t="str">
        <f>'2025'!I7</f>
        <v>L</v>
      </c>
      <c r="J154" s="18" t="str">
        <f>'2025'!J7</f>
        <v>W</v>
      </c>
      <c r="K154" s="18" t="str">
        <f>'2025'!K7</f>
        <v>W</v>
      </c>
      <c r="L154" s="18" t="str">
        <f>'2025'!L7</f>
        <v>L</v>
      </c>
      <c r="M154" s="2"/>
      <c r="N154" s="3" t="s">
        <v>65</v>
      </c>
      <c r="O154" s="12" t="str">
        <f>IFERROR(__xludf.DUMMYFUNCTION("IF(OR(COUNTA(C151:L151) = 0, COUNTA(C154:L154) = 0), """", IFERROR(TEXTJOIN("", "", TRUE, FILTER(C148:L148, (C154:L154 = ""W"") * (C151:L151 = MAX(FILTER(C151:L151, C154:L154 = ""W""))))), """"))"),"Hunter")</f>
        <v>Hunter</v>
      </c>
      <c r="P154" s="12" t="str">
        <f>IFERROR(__xludf.DUMMYFUNCTION("IF(COUNTA(C159:L159) = 0, """", IFERROR(TEXTJOIN("", "", TRUE, FILTER(C148:L148, C159:L159 = MAX(C159:L159))), """"))"),"Dan")</f>
        <v>Dan</v>
      </c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 ht="16.5" customHeight="1">
      <c r="A155" s="1" t="s">
        <v>81</v>
      </c>
      <c r="B155" s="2"/>
      <c r="C155" s="4">
        <f t="shared" ref="C155:L155" si="45">IF(OR(C151="",C154=""),"",C139+COUNTIF(C154,"W"))</f>
        <v>7</v>
      </c>
      <c r="D155" s="4">
        <f t="shared" si="45"/>
        <v>10</v>
      </c>
      <c r="E155" s="4">
        <f t="shared" si="45"/>
        <v>7</v>
      </c>
      <c r="F155" s="4">
        <f t="shared" si="45"/>
        <v>10</v>
      </c>
      <c r="G155" s="4">
        <f t="shared" si="45"/>
        <v>6</v>
      </c>
      <c r="H155" s="4">
        <f t="shared" si="45"/>
        <v>7</v>
      </c>
      <c r="I155" s="4">
        <f t="shared" si="45"/>
        <v>4</v>
      </c>
      <c r="J155" s="4">
        <f t="shared" si="45"/>
        <v>8</v>
      </c>
      <c r="K155" s="4">
        <f t="shared" si="45"/>
        <v>4</v>
      </c>
      <c r="L155" s="4">
        <f t="shared" si="45"/>
        <v>8</v>
      </c>
      <c r="M155" s="2"/>
      <c r="N155" s="3" t="s">
        <v>82</v>
      </c>
      <c r="O155" s="4" t="str">
        <f>IFERROR(__xludf.DUMMYFUNCTION("IF(OR(COUNTA(C151:L151) = 0, COUNTA(C154:L154) = 0), """", IFERROR(TEXTJOIN("", "", TRUE, FILTER(C148:L148, (C154:L154 = ""L"") * (C151:L151 = MIN(FILTER(C151:L151, C154:L154 = ""L""))))), """"))"),"Trey")</f>
        <v>Trey</v>
      </c>
      <c r="P155" s="12" t="str">
        <f>IFERROR(__xludf.DUMMYFUNCTION("IF(COUNTA(C159:L159) = 0, """", IFERROR(TEXTJOIN("", "", TRUE, FILTER(C148:L148, C159:L159 = MIN(C159:L159))), """"))"),"Nick")</f>
        <v>Nick</v>
      </c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>
      <c r="A156" s="1" t="s">
        <v>83</v>
      </c>
      <c r="B156" s="2"/>
      <c r="C156" s="27">
        <f t="shared" ref="C156:L156" si="46">IF(OR(C151="",C154=""),"",C140+COUNTIF(C154,"L"))</f>
        <v>5</v>
      </c>
      <c r="D156" s="27">
        <f t="shared" si="46"/>
        <v>2</v>
      </c>
      <c r="E156" s="27">
        <f t="shared" si="46"/>
        <v>5</v>
      </c>
      <c r="F156" s="27">
        <f t="shared" si="46"/>
        <v>2</v>
      </c>
      <c r="G156" s="27">
        <f t="shared" si="46"/>
        <v>6</v>
      </c>
      <c r="H156" s="27">
        <f t="shared" si="46"/>
        <v>5</v>
      </c>
      <c r="I156" s="27">
        <f t="shared" si="46"/>
        <v>8</v>
      </c>
      <c r="J156" s="27">
        <f t="shared" si="46"/>
        <v>4</v>
      </c>
      <c r="K156" s="27">
        <f t="shared" si="46"/>
        <v>8</v>
      </c>
      <c r="L156" s="27">
        <f t="shared" si="46"/>
        <v>4</v>
      </c>
      <c r="M156" s="2"/>
      <c r="N156" s="3" t="s">
        <v>84</v>
      </c>
      <c r="O156" s="12" t="str">
        <f>IFERROR(__xludf.DUMMYFUNCTION("IF(COUNTA(C151:L151) = 0, """", IFERROR(TEXTJOIN("", "", TRUE, FILTER(C148:L148, C151:L151 = MAX(C151:L151))), """"))"),"Hunter")</f>
        <v>Hunter</v>
      </c>
      <c r="P156" s="4" t="str">
        <f>IFERROR(__xludf.DUMMYFUNCTION("IF(COUNTA(C151:L151) = 0, """", IFERROR(TEXTJOIN("", "", TRUE, FILTER(C148:L148, C158:L158 = MAX(C158:L158))), """"))"),"Jake")</f>
        <v>Jake</v>
      </c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 ht="16.5" customHeight="1">
      <c r="A157" s="3" t="s">
        <v>85</v>
      </c>
      <c r="B157" s="2"/>
      <c r="C157" s="24">
        <f t="shared" ref="C157:L157" si="47">IF(OR(C151="",C154=""),"",(C155/(C155+C156)))</f>
        <v>0.5833333333</v>
      </c>
      <c r="D157" s="24">
        <f t="shared" si="47"/>
        <v>0.8333333333</v>
      </c>
      <c r="E157" s="24">
        <f t="shared" si="47"/>
        <v>0.5833333333</v>
      </c>
      <c r="F157" s="24">
        <f t="shared" si="47"/>
        <v>0.8333333333</v>
      </c>
      <c r="G157" s="24">
        <f t="shared" si="47"/>
        <v>0.5</v>
      </c>
      <c r="H157" s="24">
        <f t="shared" si="47"/>
        <v>0.5833333333</v>
      </c>
      <c r="I157" s="24">
        <f t="shared" si="47"/>
        <v>0.3333333333</v>
      </c>
      <c r="J157" s="24">
        <f t="shared" si="47"/>
        <v>0.6666666667</v>
      </c>
      <c r="K157" s="24">
        <f t="shared" si="47"/>
        <v>0.3333333333</v>
      </c>
      <c r="L157" s="24">
        <f t="shared" si="47"/>
        <v>0.6666666667</v>
      </c>
      <c r="M157" s="14"/>
      <c r="N157" s="3" t="s">
        <v>86</v>
      </c>
      <c r="O157" s="4" t="str">
        <f>IFERROR(__xludf.DUMMYFUNCTION("IF(COUNTA(C151:L151) = 0, """", IFERROR(TEXTJOIN("", "", TRUE, FILTER(C148:L148, C151:L151 = MIN(C151:L151))), """"))"),"Carson, Tanner")</f>
        <v>Carson, Tanner</v>
      </c>
      <c r="P157" s="4" t="str">
        <f>IFERROR(__xludf.DUMMYFUNCTION("IF(COUNTA(C151:L151) = 0, """", IFERROR(TEXTJOIN("", "", TRUE, FILTER(C148:L148, C158:L158 = MIN(C158:L158))), """"))"),"Carson")</f>
        <v>Carson</v>
      </c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 ht="16.5" customHeight="1">
      <c r="A158" s="3" t="s">
        <v>87</v>
      </c>
      <c r="B158" s="2"/>
      <c r="C158" s="25">
        <f t="shared" ref="C158:L158" si="48">IF(C151="","",IF(((IF(C151 &lt;0,((-100/C151)+1),((C151/100)+1))+(IF(C142&lt;0,((-100/C142)+1),((C142/100)+1)))*(C139+C140))/(C139+C140+1))&lt;2,(-100/(((IF(C151 &lt;0,((-100/C151)+1),((C151/100)+1))+(IF(C142&lt;0,((-100/C142)+1),((C142/100)+1)))*(C139+C140))/(C139+C140+1))-1)),(((IF(C151 &lt;0,((-100/C151)+1),((C151/100)+1))+(IF(C142&lt;0,((-100/C142)+1),((C142/100)+1)))*(C139+C140))/(C139+C140+1))-1)*100))</f>
        <v>-118.9791697</v>
      </c>
      <c r="D158" s="25">
        <f t="shared" si="48"/>
        <v>-138.6823633</v>
      </c>
      <c r="E158" s="25">
        <f t="shared" si="48"/>
        <v>-109.8384941</v>
      </c>
      <c r="F158" s="25">
        <f t="shared" si="48"/>
        <v>-125.3828633</v>
      </c>
      <c r="G158" s="25">
        <f t="shared" si="48"/>
        <v>104.5839475</v>
      </c>
      <c r="H158" s="25">
        <f t="shared" si="48"/>
        <v>105.8482338</v>
      </c>
      <c r="I158" s="25">
        <f t="shared" si="48"/>
        <v>-119.590366</v>
      </c>
      <c r="J158" s="25">
        <f t="shared" si="48"/>
        <v>-115.0412099</v>
      </c>
      <c r="K158" s="25">
        <f t="shared" si="48"/>
        <v>-114.9904674</v>
      </c>
      <c r="L158" s="25">
        <f t="shared" si="48"/>
        <v>-105.9609689</v>
      </c>
      <c r="M158" s="14"/>
      <c r="N158" s="4"/>
      <c r="O158" s="12"/>
      <c r="P158" s="12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>
      <c r="A159" s="16" t="s">
        <v>88</v>
      </c>
      <c r="B159" s="2"/>
      <c r="C159" s="26">
        <f>IFERROR(__xludf.DUMMYFUNCTION("IF(OR(C151="""",C154=""""),"""",IF(REGEXMATCH(C154,""W""),IF(C151&lt;0,((-100/C151))*10+C143,((C151/100)*10+C143)),-10+C143))"),5.424500796024804)</f>
        <v>5.424500796</v>
      </c>
      <c r="D159" s="26">
        <f>IFERROR(__xludf.DUMMYFUNCTION("IF(OR(D151="""",D154=""""),"""",IF(REGEXMATCH(D154,""W""),IF(D151&lt;0,((-100/D151))*10+D143,((D151/100)*10+D143)),-10+D143))"),49.12125934002737)</f>
        <v>49.12125934</v>
      </c>
      <c r="E159" s="26">
        <f>IFERROR(__xludf.DUMMYFUNCTION("IF(OR(E151="""",E154=""""),"""",IF(REGEXMATCH(E154,""W""),IF(E151&lt;0,((-100/E151))*10+E143,((E151/100)*10+E143)),-10+E143))"),15.254877134889924)</f>
        <v>15.25487713</v>
      </c>
      <c r="F159" s="26">
        <f>IFERROR(__xludf.DUMMYFUNCTION("IF(OR(F151="""",F154=""""),"""",IF(REGEXMATCH(F154,""W""),IF(F151&lt;0,((-100/F151))*10+F143,((F151/100)*10+F143)),-10+F143))"),57.17352554710719)</f>
        <v>57.17352555</v>
      </c>
      <c r="G159" s="26">
        <f>IFERROR(__xludf.DUMMYFUNCTION("IF(OR(G151="""",G154=""""),"""",IF(REGEXMATCH(G154,""W""),IF(G151&lt;0,((-100/G151))*10+G143,((G151/100)*10+G143)),-10+G143))"),-8.730762561290211)</f>
        <v>-8.730762561</v>
      </c>
      <c r="H159" s="26">
        <f>IFERROR(__xludf.DUMMYFUNCTION("IF(OR(H151="""",H154=""""),"""",IF(REGEXMATCH(H154,""W""),IF(H151&lt;0,((-100/H151))*10+H143,((H151/100)*10+H143)),-10+H143))"),15.801763401309024)</f>
        <v>15.8017634</v>
      </c>
      <c r="I159" s="26">
        <f>IFERROR(__xludf.DUMMYFUNCTION("IF(OR(I151="""",I154=""""),"""",IF(REGEXMATCH(I154,""W""),IF(I151&lt;0,((-100/I151))*10+I143,((I151/100)*10+I143)),-10+I143))"),-54.97592091620274)</f>
        <v>-54.97592092</v>
      </c>
      <c r="J159" s="26">
        <f>IFERROR(__xludf.DUMMYFUNCTION("IF(OR(J151="""",J154=""""),"""",IF(REGEXMATCH(J154,""W""),IF(J151&lt;0,((-100/J151))*10+J143,((J151/100)*10+J143)),-10+J143))"),29.47359895204947)</f>
        <v>29.47359895</v>
      </c>
      <c r="K159" s="26">
        <f>IFERROR(__xludf.DUMMYFUNCTION("IF(OR(K151="""",K154=""""),"""",IF(REGEXMATCH(K154,""W""),IF(K151&lt;0,((-100/K151))*10+K143,((K151/100)*10+K143)),-10+K143))"),-45.44373989928451)</f>
        <v>-45.4437399</v>
      </c>
      <c r="L159" s="26">
        <f>IFERROR(__xludf.DUMMYFUNCTION("IF(OR(L151="""",L154=""""),"""",IF(REGEXMATCH(L154,""W""),IF(L151&lt;0,((-100/L151))*10+L143,((L151/100)*10+L143)),-10+L143))"),36.17054256111233)</f>
        <v>36.17054256</v>
      </c>
      <c r="M159" s="14"/>
      <c r="N159" s="16" t="s">
        <v>89</v>
      </c>
      <c r="O159" s="10">
        <f>IFERROR(__xludf.DUMMYFUNCTION("IF(AND(C159="""",AND(D159="""",AND(E159="""",AND(F159="""",AND(G159="""",AND(H159="""",AND(I159="""",AND(J159="""",AND(K159="""",L159=""""))))))))),"""",(IF(C154="""",0,IF(REGEXMATCH(C154,""W""),IF(C151&lt;0,((-100/C151))*10,((C151/100)*10)),-10))+IF(D154="""&amp;""",0,IF(REGEXMATCH(D154,""W""),IF(D151&lt;0,((-100/D151))*10,((D151/100)*10)),-10))+IF(E154="""",0,IF(REGEXMATCH(E154,""W""),IF(E151&lt;0,((-100/E151))*10,((E151/100)*10)),-10))+IF(F154="""",0,IF(REGEXMATCH(F154,""W""),IF(F151&lt;0,((-100/F151))*10,((F151/100)*10)"&amp;"),-10))+IF(G154="""",0,IF(REGEXMATCH(G154,""W""),IF(G151&lt;0,((-100/G151))*10,((G151/100)*10)),-10))+IF(H154="""",0,IF(REGEXMATCH(H154,""W""),IF(H151&lt;0,((-100/H151))*10,((H151/100)*10)),-10))+IF(I154="""",0,IF(REGEXMATCH(I154,""W""),IF(I151&lt;0,((-100/I151))*"&amp;"10,((I151/100)*10)),-10))+IF(J154="""",0,IF(REGEXMATCH(J154,""W""),IF(J151&lt;0,((-100/J151))*10,((J151/100)*10)),-10))+IF(K154="""",0,IF(REGEXMATCH(K154,""W""),IF(K151&lt;0,((-100/K151))*10,((K151/100)*10)),-10))+IF(L154="""",0,IF(REGEXMATCH(L154,""W""),IF(L15"&amp;"1&lt;0,((-100/L151))*10,((L151/100)*10)),-10))))"),7.4566604281183295)</f>
        <v>7.456660428</v>
      </c>
      <c r="P159" s="10">
        <f>IFERROR(__xludf.DUMMYFUNCTION("IF(AND(C159="""",AND(D159="""",AND(E159="""",AND(F159="""",AND(G159="""",AND(H159="""",AND(I159="""",AND(J159="""",AND(K159="""",L159=""""))))))))),"""",(P143+IF(C154="""",0,IF(REGEXMATCH(C154,""W""),IF(C151&lt;0,((-100/C151))*10,((C151/100)*10)),-10))+IF(D1"&amp;"54="""",0,IF(REGEXMATCH(D154,""W""),IF(D151&lt;0,((-100/D151))*10,((D151/100)*10)),-10))+IF(E154="""",0,IF(REGEXMATCH(E154,""W""),IF(E151&lt;0,((-100/E151))*10,((E151/100)*10)),-10))+IF(F154="""",0,IF(REGEXMATCH(F154,""W""),IF(F151&lt;0,((-100/F151))*10,((F151/100"&amp;")*10)),-10))+IF(G154="""",0,IF(REGEXMATCH(G154,""W""),IF(G151&lt;0,((-100/G151))*10,((G151/100)*10)),-10))+IF(H154="""",0,IF(REGEXMATCH(H154,""W""),IF(H151&lt;0,((-100/H151))*10,((H151/100)*10)),-10))+IF(I154="""",0,IF(REGEXMATCH(I154,""W""),IF(I151&lt;0,((-100/I1"&amp;"51))*10,((I151/100)*10)),-10))+IF(J154="""",0,IF(REGEXMATCH(J154,""W""),IF(J151&lt;0,((-100/J151))*10,((J151/100)*10)),-10))+IF(K154="""",0,IF(REGEXMATCH(K154,""W""),IF(K151&lt;0,((-100/K151))*10,((K151/100)*10)),-10))+IF(L154="""",0,IF(REGEXMATCH(L154,""W""),I"&amp;"F(L151&lt;0,((-100/L151))*10,((L151/100)*10)),-10))))"),99.26964435574259)</f>
        <v>99.26964436</v>
      </c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 ht="16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 ht="16.5" customHeight="1">
      <c r="A161" s="1" t="s">
        <v>91</v>
      </c>
      <c r="B161" s="2"/>
      <c r="C161" s="3" t="s">
        <v>1</v>
      </c>
      <c r="D161" s="3" t="s">
        <v>2</v>
      </c>
      <c r="E161" s="3" t="s">
        <v>3</v>
      </c>
      <c r="F161" s="3" t="s">
        <v>4</v>
      </c>
      <c r="G161" s="3" t="s">
        <v>5</v>
      </c>
      <c r="H161" s="3" t="s">
        <v>6</v>
      </c>
      <c r="I161" s="3" t="s">
        <v>7</v>
      </c>
      <c r="J161" s="3" t="s">
        <v>8</v>
      </c>
      <c r="K161" s="3" t="s">
        <v>9</v>
      </c>
      <c r="L161" s="3" t="s">
        <v>10</v>
      </c>
      <c r="M161" s="2"/>
      <c r="N161" s="4"/>
      <c r="O161" s="3" t="s">
        <v>11</v>
      </c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 ht="16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 ht="16.5" customHeight="1">
      <c r="A163" s="3" t="s">
        <v>12</v>
      </c>
      <c r="B163" s="2"/>
      <c r="C163" s="12" t="str">
        <f>'2025'!C16</f>
        <v>C. Little Over 1.5 FGs Made</v>
      </c>
      <c r="D163" s="12" t="str">
        <f>'2025'!D16</f>
        <v>Eagles Moneyline</v>
      </c>
      <c r="E163" s="12" t="str">
        <f>'2025'!E16</f>
        <v>Bears +6.5</v>
      </c>
      <c r="F163" s="12" t="str">
        <f>'2025'!F16</f>
        <v>Cowboys -5.5</v>
      </c>
      <c r="G163" s="12" t="str">
        <f>'2025'!G16</f>
        <v>S. Diggs Long Rec. Over 18.5 Yards</v>
      </c>
      <c r="H163" s="12" t="str">
        <f>'2025'!H16</f>
        <v>Bills @ Jets Over 48.5</v>
      </c>
      <c r="I163" s="12" t="str">
        <f>'2025'!I16</f>
        <v>J. Johnson Over 3.5 Receptions</v>
      </c>
      <c r="J163" s="12" t="str">
        <f>'2025'!J16</f>
        <v>Chargers -2.5</v>
      </c>
      <c r="K163" s="12" t="str">
        <f>'2025'!K16</f>
        <v>Steelers -2.5</v>
      </c>
      <c r="L163" s="12" t="str">
        <f>'2025'!L16</f>
        <v>Vikings -3.5</v>
      </c>
      <c r="M163" s="2"/>
      <c r="N163" s="3" t="s">
        <v>13</v>
      </c>
      <c r="O163" s="7">
        <f>IF(AND(C164="",AND(D164="",AND(E164="",AND(F164="",AND(G164="",AND(H164="",AND(I164="",AND(J164="",AND(K164="",L164=""))))))))),"",IF(((IF(C164="",1,IF(C164&gt;0,(C164/100)+1,(100/((-1)*C164))+1)))*(IF(D164="",1,IF(D164&gt;0,(D164/100)+1,(100/((-1)*D164))+1)))*(IF(E164="",1,IF(E164&gt;0,(E164/100)+1,(100/((-1)*E164))+1)))*(IF(F164="",1,IF(F164&gt;0,(F164/100)+1,(100/((-1)*F164))+1)))*(IF(G164="",1,IF(G164&gt;0,(G164/100)+1,(100/((-1)*G164))+1)))*(IF(H164="",1,IF(H164&gt;0,(H164/100)+1,(100/((-1)*H164))+1)))*(IF(I164="",1,IF(I164&gt;0,(I164/100)+1,(100/((-1)*I164))+1)))*(IF(J164="",1,IF(J164&gt;0,(J164/100)+1,(100/((-1)*J164))+1)))*(IF(K164="",1,IF(K164&gt;0,(K164/100)+1,(100/((-1)*K164))+1)))*(IF(L164="",1,IF(L164&gt;0,(L164/100)+1,(100/((-1)*L164))+1))))&lt;2,((-100)/(((IF(C164="",1,IF(C164&gt;0,(C164/100)+1,(100/((-1)*C164))+1)))*(IF(D164="",1,IF(D164&gt;0,(D164/100)+1,(100/((-1)*D164))+1)))*(IF(E164="",1,IF(E164&gt;0,(E164/100)+1,(100/((-1)*E164))+1)))*(IF(F164="",1,IF(F164&gt;0,(F164/100)+1,(100/((-1)*F164))+1)))*(IF(G164="",1,IF(G164&gt;0,(G164/100)+1,(100/((-1)*G164))+1)))*(IF(H164="",1,IF(H164&gt;0,(H164/100)+1,(100/((-1)*H164))+1)))*(IF(I164="",1,IF(I164&gt;0,(I164/100)+1,(100/((-1)*I164))+1)))*(IF(J164="",1,IF(J164&gt;0,(J164/100)+1,(100/((-1)*J164))+1)))*(IF(K164="",1,IF(K164&gt;0,(K164/100)+1,(100/((-1)*K164))+1)))*(IF(L164="",1,IF(L164&gt;0,(L164/100)+1,(100/((-1)*L164))+1))))-1)),((((IF(C164="",1,IF(C164&gt;0,(C164/100)+1,(100/((-1)*C164))+1)))*(IF(D164="",1,IF(D164&gt;0,(D164/100)+1,(100/((-1)*D164))+1)))*(IF(E164="",1,IF(E164&gt;0,(E164/100)+1,(100/((-1)*E164))+1)))*(IF(F164="",1,IF(F164&gt;0,(F164/100)+1,(100/((-1)*F164))+1)))*(IF(G164="",1,IF(G164&gt;0,(G164/100)+1,(100/((-1)*G164))+1)))*(IF(H164="",1,IF(H164&gt;0,(H164/100)+1,(100/((-1)*H164))+1)))*(IF(I164="",1,IF(I164&gt;0,(I164/100)+1,(100/((-1)*I164))+1)))*(IF(J164="",1,IF(J164&gt;0,(J164/100)+1,(100/((-1)*J164))+1)))*(IF(K164="",1,IF(K164&gt;0,(K164/100)+1,(100/((-1)*K164))+1)))*(IF(L164="",1,IF(L164&gt;0,(L164/100)+1,(100/((-1)*L164))+1))))-1)*(100))))</f>
        <v>36763.03555</v>
      </c>
      <c r="P163" s="4"/>
      <c r="Q163" s="8" t="s">
        <v>35</v>
      </c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 ht="16.5" customHeight="1">
      <c r="A164" s="3" t="s">
        <v>13</v>
      </c>
      <c r="B164" s="2"/>
      <c r="C164" s="18">
        <f>'2025'!C17</f>
        <v>-120</v>
      </c>
      <c r="D164" s="18">
        <f>'2025'!D17</f>
        <v>-130</v>
      </c>
      <c r="E164" s="18">
        <f>'2025'!E17</f>
        <v>-105</v>
      </c>
      <c r="F164" s="18">
        <f>'2025'!F17</f>
        <v>-120</v>
      </c>
      <c r="G164" s="18">
        <f>'2025'!G17</f>
        <v>-111</v>
      </c>
      <c r="H164" s="18">
        <f>'2025'!H17</f>
        <v>-105</v>
      </c>
      <c r="I164" s="18">
        <f>'2025'!I17</f>
        <v>-161</v>
      </c>
      <c r="J164" s="18">
        <f>'2025'!J17</f>
        <v>-159</v>
      </c>
      <c r="K164" s="18">
        <f>'2025'!K17</f>
        <v>-145</v>
      </c>
      <c r="L164" s="18">
        <f>'2025'!L17</f>
        <v>-109</v>
      </c>
      <c r="M164" s="2">
        <v>2.0</v>
      </c>
      <c r="N164" s="3" t="s">
        <v>36</v>
      </c>
      <c r="O164" s="10">
        <f>IF(AND(C164="",AND(D164="",AND(E164="",AND(F164="",AND(G164="",AND(H164="",AND(I164="",AND(J164="",AND(K164="",L164=""))))))))),"",10+IF((IF(((IF(C164="",1,IF(C164&gt;0,(C164/100)+1,(100/((-1)*C164))+1)))*(IF(D164="",1,IF(D164&gt;0,(D164/100)+1,(100/((-1)*D164))+1)))*(IF(E164="",1,IF(E164&gt;0,(E164/100)+1,(100/((-1)*E164))+1)))*(IF(F164="",1,IF(F164&gt;0,(F164/100)+1,(100/((-1)*F164))+1)))*(IF(G164="",1,IF(G164&gt;0,(G164/100)+1,(100/((-1)*G164))+1)))*(IF(H164="",1,IF(H164&gt;0,(H164/100)+1,(100/((-1)*H164))+1)))*(IF(I164="",1,IF(I164&gt;0,(I164/100)+1,(100/((-1)*I164))+1)))*(IF(J164="",1,IF(J164&gt;0,(J164/100)+1,(100/((-1)*J164))+1)))*(IF(K164="",1,IF(K164&gt;0,(K164/100)+1,(100/((-1)*K164))+1)))*(IF(L164="",1,IF(L164&gt;0,(L164/100)+1,(100/((-1)*L164))+1))))&lt;2,((-100)/(((IF(C164="",1,IF(C164&gt;0,(C164/100)+1,(100/((-1)*C164))+1)))*(IF(D164="",1,IF(D164&gt;0,(D164/100)+1,(100/((-1)*D164))+1)))*(IF(E164="",1,IF(E164&gt;0,(E164/100)+1,(100/((-1)*E164))+1)))*(IF(F164="",1,IF(F164&gt;0,(F164/100)+1,(100/((-1)*F164))+1)))*(IF(G164="",1,IF(G164&gt;0,(G164/100)+1,(100/((-1)*G164))+1)))*(IF(H164="",1,IF(H164&gt;0,(H164/100)+1,(100/((-1)*H164))+1)))*(IF(I164="",1,IF(I164&gt;0,(I164/100)+1,(100/((-1)*I164))+1)))*(IF(J164="",1,IF(J164&gt;0,(J164/100)+1,(100/((-1)*J164))+1)))*(IF(K164="",1,IF(K164&gt;0,(K164/100)+1,(100/((-1)*K164))+1)))*(IF(L164="",1,IF(L164&gt;0,(L164/100)+1,(100/((-1)*L164))+1))))-1)),((((IF(C164="",1,IF(C164&gt;0,(C164/100)+1,(100/((-1)*C164))+1)))*(IF(D164="",1,IF(D164&gt;0,(D164/100)+1,(100/((-1)*D164))+1)))*(IF(E164="",1,IF(E164&gt;0,(E164/100)+1,(100/((-1)*E164))+1)))*(IF(F164="",1,IF(F164&gt;0,(F164/100)+1,(100/((-1)*F164))+1)))*(IF(G164="",1,IF(G164&gt;0,(G164/100)+1,(100/((-1)*G164))+1)))*(IF(H164="",1,IF(H164&gt;0,(H164/100)+1,(100/((-1)*H164))+1)))*(IF(I164="",1,IF(I164&gt;0,(I164/100)+1,(100/((-1)*I164))+1)))*(IF(J164="",1,IF(J164&gt;0,(J164/100)+1,(100/((-1)*J164))+1)))*(IF(K164="",1,IF(K164&gt;0,(K164/100)+1,(100/((-1)*K164))+1)))*(IF(L164="",1,IF(L164&gt;0,(L164/100)+1,(100/((-1)*L164))+1))))-1)*(100))))&lt;0,(((-100)/((IF(((IF(C164="",1,IF(C164&gt;0,(C164/100)+1,(100/((-1)*C164))+1)))*(IF(D164="",1,IF(D164&gt;0,(D164/100)+1,(100/((-1)*D164))+1)))*(IF(E164="",1,IF(E164&gt;0,(E164/100)+1,(100/((-1)*E164))+1)))*(IF(F164="",1,IF(F164&gt;0,(F164/100)+1,(100/((-1)*F164))+1)))*(IF(G164="",1,IF(G164&gt;0,(G164/100)+1,(100/((-1)*G164))+1)))*(IF(H164="",1,IF(H164&gt;0,(H164/100)+1,(100/((-1)*H164))+1)))*(IF(I164="",1,IF(I164&gt;0,(I164/100)+1,(100/((-1)*I164))+1)))*(IF(J164="",1,IF(J164&gt;0,(J164/100)+1,(100/((-1)*J164))+1)))*(IF(K164="",1,IF(K164&gt;0,(K164/100)+1,(100/((-1)*K164))+1)))*(IF(L164="",1,IF(L164&gt;0,(L164/100)+1,(100/((-1)*L164))+1))))&lt;2,((-100)/(((IF(C164="",1,IF(C164&gt;0,(C164/100)+1,(100/((-1)*C164))+1)))*(IF(D164="",1,IF(D164&gt;0,(D164/100)+1,(100/((-1)*D164))+1)))*(IF(E164="",1,IF(E164&gt;0,(E164/100)+1,(100/((-1)*E164))+1)))*(IF(F164="",1,IF(F164&gt;0,(F164/100)+1,(100/((-1)*F164))+1)))*(IF(G164="",1,IF(G164&gt;0,(G164/100)+1,(100/((-1)*G164))+1)))*(IF(H164="",1,IF(H164&gt;0,(H164/100)+1,(100/((-1)*H164))+1)))*(IF(I164="",1,IF(I164&gt;0,(I164/100)+1,(100/((-1)*I164))+1)))*(IF(J164="",1,IF(J164&gt;0,(J164/100)+1,(100/((-1)*J164))+1)))*(IF(K164="",1,IF(K164&gt;0,(K164/100)+1,(100/((-1)*K164))+1)))*(IF(L164="",1,IF(L164&gt;0,(L164/100)+1,(100/((-1)*L164))+1))))-1)),((((IF(C164="",1,IF(C164&gt;0,(C164/100)+1,(100/((-1)*C164))+1)))*(IF(D164="",1,IF(D164&gt;0,(D164/100)+1,(100/((-1)*D164))+1)))*(IF(E164="",1,IF(E164&gt;0,(E164/100)+1,(100/((-1)*E164))+1)))*(IF(F164="",1,IF(F164&gt;0,(F164/100)+1,(100/((-1)*F164))+1)))*(IF(G164="",1,IF(G164&gt;0,(G164/100)+1,(100/((-1)*G164))+1)))*(IF(H164="",1,IF(H164&gt;0,(H164/100)+1,(100/((-1)*H164))+1)))*(IF(I164="",1,IF(I164&gt;0,(I164/100)+1,(100/((-1)*I164))+1)))*(IF(J164="",1,IF(J164&gt;0,(J164/100)+1,(100/((-1)*J164))+1)))*(IF(K164="",1,IF(K164&gt;0,(K164/100)+1,(100/((-1)*K164))+1)))*(IF(L164="",1,IF(L164&gt;0,(L164/100)+1,(100/((-1)*L164))+1))))-1)*(100))))))*10),(((IF(((IF(C164="",1,IF(C164&gt;0,(C164/100)+1,(100/((-1)*C164))+1)))*(IF(D164="",1,IF(D164&gt;0,(D164/100)+1,(100/((-1)*D164))+1)))*(IF(E164="",1,IF(E164&gt;0,(E164/100)+1,(100/((-1)*E164))+1)))*(IF(F164="",1,IF(F164&gt;0,(F164/100)+1,(100/((-1)*F164))+1)))*(IF(G164="",1,IF(G164&gt;0,(G164/100)+1,(100/((-1)*G164))+1)))*(IF(H164="",1,IF(H164&gt;0,(H164/100)+1,(100/((-1)*H164))+1)))*(IF(I164="",1,IF(I164&gt;0,(I164/100)+1,(100/((-1)*I164))+1)))*(IF(J164="",1,IF(J164&gt;0,(J164/100)+1,(100/((-1)*J164))+1)))*(IF(K164="",1,IF(K164&gt;0,(K164/100)+1,(100/((-1)*K164))+1)))*(IF(L164="",1,IF(L164&gt;0,(L164/100)+1,(100/((-1)*L164))+1))))&lt;2,((-100)/(((IF(C164="",1,IF(C164&gt;0,(C164/100)+1,(100/((-1)*C164))+1)))*(IF(D164="",1,IF(D164&gt;0,(D164/100)+1,(100/((-1)*D164))+1)))*(IF(E164="",1,IF(E164&gt;0,(E164/100)+1,(100/((-1)*E164))+1)))*(IF(F164="",1,IF(F164&gt;0,(F164/100)+1,(100/((-1)*F164))+1)))*(IF(G164="",1,IF(G164&gt;0,(G164/100)+1,(100/((-1)*G164))+1)))*(IF(H164="",1,IF(H164&gt;0,(H164/100)+1,(100/((-1)*H164))+1)))*(IF(I164="",1,IF(I164&gt;0,(I164/100)+1,(100/((-1)*I164))+1)))*(IF(J164="",1,IF(J164&gt;0,(J164/100)+1,(100/((-1)*J164))+1)))*(IF(K164="",1,IF(K164&gt;0,(K164/100)+1,(100/((-1)*K164))+1)))*(IF(L164="",1,IF(L164&gt;0,(L164/100)+1,(100/((-1)*L164))+1))))-1)),((((IF(C164="",1,IF(C164&gt;0,(C164/100)+1,(100/((-1)*C164))+1)))*(IF(D164="",1,IF(D164&gt;0,(D164/100)+1,(100/((-1)*D164))+1)))*(IF(E164="",1,IF(E164&gt;0,(E164/100)+1,(100/((-1)*E164))+1)))*(IF(F164="",1,IF(F164&gt;0,(F164/100)+1,(100/((-1)*F164))+1)))*(IF(G164="",1,IF(G164&gt;0,(G164/100)+1,(100/((-1)*G164))+1)))*(IF(H164="",1,IF(H164&gt;0,(H164/100)+1,(100/((-1)*H164))+1)))*(IF(I164="",1,IF(I164&gt;0,(I164/100)+1,(100/((-1)*I164))+1)))*(IF(J164="",1,IF(J164&gt;0,(J164/100)+1,(100/((-1)*J164))+1)))*(IF(K164="",1,IF(K164&gt;0,(K164/100)+1,(100/((-1)*K164))+1)))*(IF(L164="",1,IF(L164&gt;0,(L164/100)+1,(100/((-1)*L164))+1))))-1)*(100))))/100)*10)))</f>
        <v>3686.303555</v>
      </c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 ht="16.5" customHeight="1">
      <c r="A165" s="3" t="s">
        <v>37</v>
      </c>
      <c r="B165" s="2"/>
      <c r="C165" s="18" t="str">
        <f>'2025'!C18</f>
        <v>Jaguars @ Bengals</v>
      </c>
      <c r="D165" s="18" t="str">
        <f>'2025'!D18</f>
        <v>Eagles @ Chiefs</v>
      </c>
      <c r="E165" s="18" t="str">
        <f>'2025'!E18</f>
        <v>Bears @ Lions</v>
      </c>
      <c r="F165" s="18" t="str">
        <f>'2025'!F18</f>
        <v>Giants @ Cowboys</v>
      </c>
      <c r="G165" s="18" t="str">
        <f>'2025'!G18</f>
        <v>Patriots @ Dolphins</v>
      </c>
      <c r="H165" s="18" t="str">
        <f>'2025'!H18</f>
        <v>Bills @ Jets</v>
      </c>
      <c r="I165" s="18" t="str">
        <f>'2025'!I18</f>
        <v>49ers @ Saints</v>
      </c>
      <c r="J165" s="18" t="str">
        <f>'2025'!J18</f>
        <v>Chargers @ Raiders</v>
      </c>
      <c r="K165" s="18" t="str">
        <f>'2025'!K18</f>
        <v>Seahawks @ Steelers</v>
      </c>
      <c r="L165" s="18" t="str">
        <f>'2025'!L18</f>
        <v>Falcons @ Vikings</v>
      </c>
      <c r="M165" s="2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 ht="16.5" customHeight="1">
      <c r="A166" s="3" t="s">
        <v>48</v>
      </c>
      <c r="B166" s="2"/>
      <c r="C166" s="18" t="str">
        <f>'2025'!C19</f>
        <v>2 FGs Made</v>
      </c>
      <c r="D166" s="18" t="str">
        <f>'2025'!D19</f>
        <v>20-17</v>
      </c>
      <c r="E166" s="18" t="str">
        <f>'2025'!E19</f>
        <v>21-52</v>
      </c>
      <c r="F166" s="18" t="str">
        <f>'2025'!F19</f>
        <v>37-40</v>
      </c>
      <c r="G166" s="18" t="str">
        <f>'2025'!G19</f>
        <v>Long Rec. 10 Yards</v>
      </c>
      <c r="H166" s="18" t="str">
        <f>'2025'!H19</f>
        <v>30-10</v>
      </c>
      <c r="I166" s="18" t="str">
        <f>'2025'!I19</f>
        <v>5 Receptions</v>
      </c>
      <c r="J166" s="18" t="str">
        <f>'2025'!J19</f>
        <v>20-9</v>
      </c>
      <c r="K166" s="18" t="str">
        <f>'2025'!K19</f>
        <v>31-17</v>
      </c>
      <c r="L166" s="18" t="str">
        <f>'2025'!L19</f>
        <v>22-6</v>
      </c>
      <c r="M166" s="2"/>
      <c r="N166" s="4"/>
      <c r="O166" s="3" t="s">
        <v>56</v>
      </c>
      <c r="P166" s="3" t="s">
        <v>57</v>
      </c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 ht="16.5" customHeight="1">
      <c r="A167" s="3" t="s">
        <v>59</v>
      </c>
      <c r="B167" s="2"/>
      <c r="C167" s="18" t="str">
        <f>'2025'!C20</f>
        <v>W</v>
      </c>
      <c r="D167" s="18" t="str">
        <f>'2025'!D20</f>
        <v>W</v>
      </c>
      <c r="E167" s="18" t="str">
        <f>'2025'!E20</f>
        <v>L</v>
      </c>
      <c r="F167" s="18" t="str">
        <f>'2025'!F20</f>
        <v>L</v>
      </c>
      <c r="G167" s="18" t="str">
        <f>'2025'!G20</f>
        <v>L</v>
      </c>
      <c r="H167" s="18" t="str">
        <f>'2025'!H20</f>
        <v>L</v>
      </c>
      <c r="I167" s="18" t="str">
        <f>'2025'!I20</f>
        <v>W</v>
      </c>
      <c r="J167" s="18" t="str">
        <f>'2025'!J20</f>
        <v>W</v>
      </c>
      <c r="K167" s="18" t="str">
        <f>'2025'!K20</f>
        <v>L</v>
      </c>
      <c r="L167" s="18" t="str">
        <f>'2025'!L20</f>
        <v>L</v>
      </c>
      <c r="M167" s="2"/>
      <c r="N167" s="3" t="s">
        <v>65</v>
      </c>
      <c r="O167" s="12" t="str">
        <f>IFERROR(__xludf.DUMMYFUNCTION("IF(OR(COUNTA(C164:L164) = 0, COUNTA(C167:L167) = 0), """", IFERROR(TEXTJOIN("", "", TRUE, FILTER(C161:L161, (C167:L167 = ""W"") * (C164:L164 = MAX(FILTER(C164:L164, C167:L167 = ""W""))))), """"))"),"Austin")</f>
        <v>Austin</v>
      </c>
      <c r="P167" s="12" t="str">
        <f>IFERROR(__xludf.DUMMYFUNCTION("IF(COUNTA(C172:L172) = 0, """", IFERROR(TEXTJOIN("", "", TRUE, FILTER(C161:L161, C172:L172 = MAX(C172:L172))), """"))"),"Carson")</f>
        <v>Carson</v>
      </c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 ht="16.5" customHeight="1">
      <c r="A168" s="1" t="s">
        <v>81</v>
      </c>
      <c r="B168" s="2"/>
      <c r="C168" s="4">
        <f t="shared" ref="C168:L168" si="49">IF(OR(C164="",C167=""),"",C155+COUNTIF(C167,"W"))</f>
        <v>8</v>
      </c>
      <c r="D168" s="4">
        <f t="shared" si="49"/>
        <v>11</v>
      </c>
      <c r="E168" s="4">
        <f t="shared" si="49"/>
        <v>7</v>
      </c>
      <c r="F168" s="4">
        <f t="shared" si="49"/>
        <v>10</v>
      </c>
      <c r="G168" s="4">
        <f t="shared" si="49"/>
        <v>6</v>
      </c>
      <c r="H168" s="4">
        <f t="shared" si="49"/>
        <v>7</v>
      </c>
      <c r="I168" s="4">
        <f t="shared" si="49"/>
        <v>5</v>
      </c>
      <c r="J168" s="4">
        <f t="shared" si="49"/>
        <v>9</v>
      </c>
      <c r="K168" s="4">
        <f t="shared" si="49"/>
        <v>4</v>
      </c>
      <c r="L168" s="4">
        <f t="shared" si="49"/>
        <v>8</v>
      </c>
      <c r="M168" s="2"/>
      <c r="N168" s="3" t="s">
        <v>82</v>
      </c>
      <c r="O168" s="4" t="str">
        <f>IFERROR(__xludf.DUMMYFUNCTION("IF(OR(COUNTA(C164:L164) = 0, COUNTA(C167:L167) = 0), """", IFERROR(TEXTJOIN("", "", TRUE, FILTER(C161:L161, (C167:L167 = ""L"") * (C164:L164 = MIN(FILTER(C164:L164, C167:L167 = ""L""))))), """"))"),"Taylon")</f>
        <v>Taylon</v>
      </c>
      <c r="P168" s="12" t="str">
        <f>IFERROR(__xludf.DUMMYFUNCTION("IF(COUNTA(C172:L172) = 0, """", IFERROR(TEXTJOIN("", "", TRUE, FILTER(C161:L161, C172:L172 = MIN(C172:L172))), """"))"),"Taylon")</f>
        <v>Taylon</v>
      </c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>
      <c r="A169" s="1" t="s">
        <v>83</v>
      </c>
      <c r="B169" s="2"/>
      <c r="C169" s="27">
        <f t="shared" ref="C169:L169" si="50">IF(OR(C164="",C167=""),"",C156+COUNTIF(C167,"L"))</f>
        <v>5</v>
      </c>
      <c r="D169" s="27">
        <f t="shared" si="50"/>
        <v>2</v>
      </c>
      <c r="E169" s="27">
        <f t="shared" si="50"/>
        <v>6</v>
      </c>
      <c r="F169" s="27">
        <f t="shared" si="50"/>
        <v>3</v>
      </c>
      <c r="G169" s="27">
        <f t="shared" si="50"/>
        <v>7</v>
      </c>
      <c r="H169" s="27">
        <f t="shared" si="50"/>
        <v>6</v>
      </c>
      <c r="I169" s="27">
        <f t="shared" si="50"/>
        <v>8</v>
      </c>
      <c r="J169" s="27">
        <f t="shared" si="50"/>
        <v>4</v>
      </c>
      <c r="K169" s="27">
        <f t="shared" si="50"/>
        <v>9</v>
      </c>
      <c r="L169" s="27">
        <f t="shared" si="50"/>
        <v>5</v>
      </c>
      <c r="M169" s="2"/>
      <c r="N169" s="3" t="s">
        <v>84</v>
      </c>
      <c r="O169" s="12" t="str">
        <f>IFERROR(__xludf.DUMMYFUNCTION("IF(COUNTA(C164:L164) = 0, """", IFERROR(TEXTJOIN("", "", TRUE, FILTER(C161:L161, C164:L164 = MAX(C164:L164))), """"))"),"Clayton, Jake")</f>
        <v>Clayton, Jake</v>
      </c>
      <c r="P169" s="4" t="str">
        <f>IFERROR(__xludf.DUMMYFUNCTION("IF(COUNTA(C164:L164) = 0, """", IFERROR(TEXTJOIN("", "", TRUE, FILTER(C161:L161, C171:L171 = MAX(C171:L171))), """"))"),"Jake")</f>
        <v>Jake</v>
      </c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 ht="16.5" customHeight="1">
      <c r="A170" s="3" t="s">
        <v>85</v>
      </c>
      <c r="B170" s="2"/>
      <c r="C170" s="24">
        <f t="shared" ref="C170:L170" si="51">IF(OR(C164="",C167=""),"",(C168/(C168+C169)))</f>
        <v>0.6153846154</v>
      </c>
      <c r="D170" s="24">
        <f t="shared" si="51"/>
        <v>0.8461538462</v>
      </c>
      <c r="E170" s="24">
        <f t="shared" si="51"/>
        <v>0.5384615385</v>
      </c>
      <c r="F170" s="24">
        <f t="shared" si="51"/>
        <v>0.7692307692</v>
      </c>
      <c r="G170" s="24">
        <f t="shared" si="51"/>
        <v>0.4615384615</v>
      </c>
      <c r="H170" s="24">
        <f t="shared" si="51"/>
        <v>0.5384615385</v>
      </c>
      <c r="I170" s="24">
        <f t="shared" si="51"/>
        <v>0.3846153846</v>
      </c>
      <c r="J170" s="24">
        <f t="shared" si="51"/>
        <v>0.6923076923</v>
      </c>
      <c r="K170" s="24">
        <f t="shared" si="51"/>
        <v>0.3076923077</v>
      </c>
      <c r="L170" s="24">
        <f t="shared" si="51"/>
        <v>0.6153846154</v>
      </c>
      <c r="M170" s="14"/>
      <c r="N170" s="3" t="s">
        <v>86</v>
      </c>
      <c r="O170" s="4" t="str">
        <f>IFERROR(__xludf.DUMMYFUNCTION("IF(COUNTA(C164:L164) = 0, """", IFERROR(TEXTJOIN("", "", TRUE, FILTER(C161:L161, C164:L164 = MIN(C164:L164))), """"))"),"Nick")</f>
        <v>Nick</v>
      </c>
      <c r="P170" s="4" t="str">
        <f>IFERROR(__xludf.DUMMYFUNCTION("IF(COUNTA(C164:L164) = 0, """", IFERROR(TEXTJOIN("", "", TRUE, FILTER(C161:L161, C171:L171 = MIN(C171:L171))), """"))"),"Carson")</f>
        <v>Carson</v>
      </c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 ht="16.5" customHeight="1">
      <c r="A171" s="3" t="s">
        <v>87</v>
      </c>
      <c r="B171" s="2"/>
      <c r="C171" s="25">
        <f t="shared" ref="C171:L171" si="52">IF(C164="","",IF(((IF(C164 &lt;0,((-100/C164)+1),((C164/100)+1))+(IF(C158&lt;0,((-100/C158)+1),((C158/100)+1)))*(C155+C156))/(C155+C156+1))&lt;2,(-100/(((IF(C164 &lt;0,((-100/C164)+1),((C164/100)+1))+(IF(C158&lt;0,((-100/C158)+1),((C158/100)+1)))*(C155+C156))/(C155+C156+1))-1)),(((IF(C164 &lt;0,((-100/C164)+1),((C164/100)+1))+(IF(C158&lt;0,((-100/C158)+1),((C158/100)+1)))*(C155+C156))/(C155+C156+1))-1)*100))</f>
        <v>-119.057078</v>
      </c>
      <c r="D171" s="25">
        <f t="shared" si="52"/>
        <v>-137.9735253</v>
      </c>
      <c r="E171" s="25">
        <f t="shared" si="52"/>
        <v>-109.4505265</v>
      </c>
      <c r="F171" s="25">
        <f t="shared" si="52"/>
        <v>-124.9517107</v>
      </c>
      <c r="G171" s="25">
        <f t="shared" si="52"/>
        <v>103.4690353</v>
      </c>
      <c r="H171" s="25">
        <f t="shared" si="52"/>
        <v>105.0320693</v>
      </c>
      <c r="I171" s="25">
        <f t="shared" si="52"/>
        <v>-122.0041974</v>
      </c>
      <c r="J171" s="25">
        <f t="shared" si="52"/>
        <v>-117.5409476</v>
      </c>
      <c r="K171" s="25">
        <f t="shared" si="52"/>
        <v>-116.850752</v>
      </c>
      <c r="L171" s="25">
        <f t="shared" si="52"/>
        <v>-106.1887112</v>
      </c>
      <c r="M171" s="14"/>
      <c r="N171" s="4"/>
      <c r="O171" s="12"/>
      <c r="P171" s="12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 ht="16.5" customHeight="1">
      <c r="A172" s="16" t="s">
        <v>88</v>
      </c>
      <c r="B172" s="2"/>
      <c r="C172" s="26">
        <f>IFERROR(__xludf.DUMMYFUNCTION("IF(OR(C164="""",C167=""""),"""",IF(REGEXMATCH(C167,""W""),IF(C164&lt;0,((-100/C164))*10+C159,((C164/100)*10+C159)),-10+C159))"),13.757834129358137)</f>
        <v>13.75783413</v>
      </c>
      <c r="D172" s="26">
        <f>IFERROR(__xludf.DUMMYFUNCTION("IF(OR(D164="""",D167=""""),"""",IF(REGEXMATCH(D167,""W""),IF(D164&lt;0,((-100/D164))*10+D159,((D164/100)*10+D159)),-10+D159))"),56.813567032335065)</f>
        <v>56.81356703</v>
      </c>
      <c r="E172" s="26">
        <f>IFERROR(__xludf.DUMMYFUNCTION("IF(OR(E164="""",E167=""""),"""",IF(REGEXMATCH(E167,""W""),IF(E164&lt;0,((-100/E164))*10+E159,((E164/100)*10+E159)),-10+E159))"),5.254877134889924)</f>
        <v>5.254877135</v>
      </c>
      <c r="F172" s="26">
        <f>IFERROR(__xludf.DUMMYFUNCTION("IF(OR(F164="""",F167=""""),"""",IF(REGEXMATCH(F167,""W""),IF(F164&lt;0,((-100/F164))*10+F159,((F164/100)*10+F159)),-10+F159))"),47.17352554710719)</f>
        <v>47.17352555</v>
      </c>
      <c r="G172" s="26">
        <f>IFERROR(__xludf.DUMMYFUNCTION("IF(OR(G164="""",G167=""""),"""",IF(REGEXMATCH(G167,""W""),IF(G164&lt;0,((-100/G164))*10+G159,((G164/100)*10+G159)),-10+G159))"),-18.730762561290213)</f>
        <v>-18.73076256</v>
      </c>
      <c r="H172" s="26">
        <f>IFERROR(__xludf.DUMMYFUNCTION("IF(OR(H164="""",H167=""""),"""",IF(REGEXMATCH(H167,""W""),IF(H164&lt;0,((-100/H164))*10+H159,((H164/100)*10+H159)),-10+H159))"),5.8017634013090245)</f>
        <v>5.801763401</v>
      </c>
      <c r="I172" s="26">
        <f>IFERROR(__xludf.DUMMYFUNCTION("IF(OR(I164="""",I167=""""),"""",IF(REGEXMATCH(I167,""W""),IF(I164&lt;0,((-100/I164))*10+I159,((I164/100)*10+I159)),-10+I159))"),-48.764740791979136)</f>
        <v>-48.76474079</v>
      </c>
      <c r="J172" s="26">
        <f>IFERROR(__xludf.DUMMYFUNCTION("IF(OR(J164="""",J167=""""),"""",IF(REGEXMATCH(J167,""W""),IF(J164&lt;0,((-100/J164))*10+J159,((J164/100)*10+J159)),-10+J159))"),35.7629071281501)</f>
        <v>35.76290713</v>
      </c>
      <c r="K172" s="26">
        <f>IFERROR(__xludf.DUMMYFUNCTION("IF(OR(K164="""",K167=""""),"""",IF(REGEXMATCH(K167,""W""),IF(K164&lt;0,((-100/K164))*10+K159,((K164/100)*10+K159)),-10+K159))"),-55.44373989928451)</f>
        <v>-55.4437399</v>
      </c>
      <c r="L172" s="26">
        <f>IFERROR(__xludf.DUMMYFUNCTION("IF(OR(L164="""",L167=""""),"""",IF(REGEXMATCH(L167,""W""),IF(L164&lt;0,((-100/L164))*10+L159,((L164/100)*10+L159)),-10+L159))"),26.170542561112327)</f>
        <v>26.17054256</v>
      </c>
      <c r="M172" s="14"/>
      <c r="N172" s="16" t="s">
        <v>89</v>
      </c>
      <c r="O172" s="10">
        <f>IFERROR(__xludf.DUMMYFUNCTION("IF(AND(C172="""",AND(D172="""",AND(E172="""",AND(F172="""",AND(G172="""",AND(H172="""",AND(I172="""",AND(J172="""",AND(K172="""",L172=""""))))))))),"""",(IF(C167="""",0,IF(REGEXMATCH(C167,""W""),IF(C164&lt;0,((-100/C164))*10,((C164/100)*10)),-10))+IF(D167="""&amp;""",0,IF(REGEXMATCH(D167,""W""),IF(D164&lt;0,((-100/D164))*10,((D164/100)*10)),-10))+IF(E167="""",0,IF(REGEXMATCH(E167,""W""),IF(E164&lt;0,((-100/E164))*10,((E164/100)*10)),-10))+IF(F167="""",0,IF(REGEXMATCH(F167,""W""),IF(F164&lt;0,((-100/F164))*10,((F164/100)*10)"&amp;"),-10))+IF(G167="""",0,IF(REGEXMATCH(G167,""W""),IF(G164&lt;0,((-100/G164))*10,((G164/100)*10)),-10))+IF(H167="""",0,IF(REGEXMATCH(H167,""W""),IF(H164&lt;0,((-100/H164))*10,((H164/100)*10)),-10))+IF(I167="""",0,IF(REGEXMATCH(I167,""W""),IF(I164&lt;0,((-100/I164))*"&amp;"10,((I164/100)*10)),-10))+IF(J167="""",0,IF(REGEXMATCH(J167,""W""),IF(J164&lt;0,((-100/J164))*10,((J164/100)*10)),-10))+IF(K167="""",0,IF(REGEXMATCH(K167,""W""),IF(K164&lt;0,((-100/K164))*10,((K164/100)*10)),-10))+IF(L167="""",0,IF(REGEXMATCH(L167,""W""),IF(L16"&amp;"4&lt;0,((-100/L164))*10,((L164/100)*10)),-10))))"),-31.473870674034742)</f>
        <v>-31.47387067</v>
      </c>
      <c r="P172" s="10">
        <f>IFERROR(__xludf.DUMMYFUNCTION("IF(AND(C172="""",AND(D172="""",AND(E172="""",AND(F172="""",AND(G172="""",AND(H172="""",AND(I172="""",AND(J172="""",AND(K172="""",L172=""""))))))))),"""",(P159+IF(C167="""",0,IF(REGEXMATCH(C167,""W""),IF(C164&lt;0,((-100/C164))*10,((C164/100)*10)),-10))+IF(D1"&amp;"67="""",0,IF(REGEXMATCH(D167,""W""),IF(D164&lt;0,((-100/D164))*10,((D164/100)*10)),-10))+IF(E167="""",0,IF(REGEXMATCH(E167,""W""),IF(E164&lt;0,((-100/E164))*10,((E164/100)*10)),-10))+IF(F167="""",0,IF(REGEXMATCH(F167,""W""),IF(F164&lt;0,((-100/F164))*10,((F164/100"&amp;")*10)),-10))+IF(G167="""",0,IF(REGEXMATCH(G167,""W""),IF(G164&lt;0,((-100/G164))*10,((G164/100)*10)),-10))+IF(H167="""",0,IF(REGEXMATCH(H167,""W""),IF(H164&lt;0,((-100/H164))*10,((H164/100)*10)),-10))+IF(I167="""",0,IF(REGEXMATCH(I167,""W""),IF(I164&lt;0,((-100/I1"&amp;"64))*10,((I164/100)*10)),-10))+IF(J167="""",0,IF(REGEXMATCH(J167,""W""),IF(J164&lt;0,((-100/J164))*10,((J164/100)*10)),-10))+IF(K167="""",0,IF(REGEXMATCH(K167,""W""),IF(K164&lt;0,((-100/K164))*10,((K164/100)*10)),-10))+IF(L167="""",0,IF(REGEXMATCH(L167,""W""),I"&amp;"F(L164&lt;0,((-100/L164))*10,((L164/100)*10)),-10))))"),67.79577368170784)</f>
        <v>67.79577368</v>
      </c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 ht="16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 ht="16.5" customHeight="1">
      <c r="A174" s="1" t="s">
        <v>149</v>
      </c>
      <c r="B174" s="2"/>
      <c r="C174" s="3" t="s">
        <v>1</v>
      </c>
      <c r="D174" s="3" t="s">
        <v>2</v>
      </c>
      <c r="E174" s="3" t="s">
        <v>3</v>
      </c>
      <c r="F174" s="3" t="s">
        <v>4</v>
      </c>
      <c r="G174" s="3" t="s">
        <v>5</v>
      </c>
      <c r="H174" s="3" t="s">
        <v>6</v>
      </c>
      <c r="I174" s="3" t="s">
        <v>7</v>
      </c>
      <c r="J174" s="3" t="s">
        <v>8</v>
      </c>
      <c r="K174" s="3" t="s">
        <v>9</v>
      </c>
      <c r="L174" s="3" t="s">
        <v>10</v>
      </c>
      <c r="M174" s="2"/>
      <c r="N174" s="4"/>
      <c r="O174" s="3" t="s">
        <v>11</v>
      </c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 ht="16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 ht="16.5" customHeight="1">
      <c r="A176" s="3" t="s">
        <v>12</v>
      </c>
      <c r="B176" s="2"/>
      <c r="C176" s="12" t="str">
        <f>'2025'!C29</f>
        <v>S. Shrader Over 1.5 FGs</v>
      </c>
      <c r="D176" s="12" t="str">
        <f>'2025'!D29</f>
        <v>Vikings Moneyline</v>
      </c>
      <c r="E176" s="12" t="str">
        <f>'2025'!E29</f>
        <v>P. Mahomes Over 1.5 Pass TDs</v>
      </c>
      <c r="F176" s="12" t="str">
        <f>'2025'!F29</f>
        <v>Cowboys -1.5</v>
      </c>
      <c r="G176" s="12" t="str">
        <f>'2025'!G29</f>
        <v>Texans Moneyline</v>
      </c>
      <c r="H176" s="12" t="str">
        <f>'2025'!H29</f>
        <v>Ravens -4.5</v>
      </c>
      <c r="I176" s="12" t="str">
        <f>'2025'!I29</f>
        <v>Steelers Over 22.5 Points</v>
      </c>
      <c r="J176" s="12" t="str">
        <f>'2025'!J29</f>
        <v>Commanders Under 22.5 Points</v>
      </c>
      <c r="K176" s="12" t="str">
        <f>'2025'!K29</f>
        <v>Chargers Moneyline</v>
      </c>
      <c r="L176" s="12" t="str">
        <f>'2025'!L29</f>
        <v>J. Jacobs ATD</v>
      </c>
      <c r="M176" s="2"/>
      <c r="N176" s="3" t="s">
        <v>13</v>
      </c>
      <c r="O176" s="7">
        <f>IF(AND(C177="",AND(D177="",AND(E177="",AND(F177="",AND(G177="",AND(H177="",AND(I177="",AND(J177="",AND(K177="",L177=""))))))))),"",IF(((IF(C177="",1,IF(C177&gt;0,(C177/100)+1,(100/((-1)*C177))+1)))*(IF(D177="",1,IF(D177&gt;0,(D177/100)+1,(100/((-1)*D177))+1)))*(IF(E177="",1,IF(E177&gt;0,(E177/100)+1,(100/((-1)*E177))+1)))*(IF(F177="",1,IF(F177&gt;0,(F177/100)+1,(100/((-1)*F177))+1)))*(IF(G177="",1,IF(G177&gt;0,(G177/100)+1,(100/((-1)*G177))+1)))*(IF(H177="",1,IF(H177&gt;0,(H177/100)+1,(100/((-1)*H177))+1)))*(IF(I177="",1,IF(I177&gt;0,(I177/100)+1,(100/((-1)*I177))+1)))*(IF(J177="",1,IF(J177&gt;0,(J177/100)+1,(100/((-1)*J177))+1)))*(IF(K177="",1,IF(K177&gt;0,(K177/100)+1,(100/((-1)*K177))+1)))*(IF(L177="",1,IF(L177&gt;0,(L177/100)+1,(100/((-1)*L177))+1))))&lt;2,((-100)/(((IF(C177="",1,IF(C177&gt;0,(C177/100)+1,(100/((-1)*C177))+1)))*(IF(D177="",1,IF(D177&gt;0,(D177/100)+1,(100/((-1)*D177))+1)))*(IF(E177="",1,IF(E177&gt;0,(E177/100)+1,(100/((-1)*E177))+1)))*(IF(F177="",1,IF(F177&gt;0,(F177/100)+1,(100/((-1)*F177))+1)))*(IF(G177="",1,IF(G177&gt;0,(G177/100)+1,(100/((-1)*G177))+1)))*(IF(H177="",1,IF(H177&gt;0,(H177/100)+1,(100/((-1)*H177))+1)))*(IF(I177="",1,IF(I177&gt;0,(I177/100)+1,(100/((-1)*I177))+1)))*(IF(J177="",1,IF(J177&gt;0,(J177/100)+1,(100/((-1)*J177))+1)))*(IF(K177="",1,IF(K177&gt;0,(K177/100)+1,(100/((-1)*K177))+1)))*(IF(L177="",1,IF(L177&gt;0,(L177/100)+1,(100/((-1)*L177))+1))))-1)),((((IF(C177="",1,IF(C177&gt;0,(C177/100)+1,(100/((-1)*C177))+1)))*(IF(D177="",1,IF(D177&gt;0,(D177/100)+1,(100/((-1)*D177))+1)))*(IF(E177="",1,IF(E177&gt;0,(E177/100)+1,(100/((-1)*E177))+1)))*(IF(F177="",1,IF(F177&gt;0,(F177/100)+1,(100/((-1)*F177))+1)))*(IF(G177="",1,IF(G177&gt;0,(G177/100)+1,(100/((-1)*G177))+1)))*(IF(H177="",1,IF(H177&gt;0,(H177/100)+1,(100/((-1)*H177))+1)))*(IF(I177="",1,IF(I177&gt;0,(I177/100)+1,(100/((-1)*I177))+1)))*(IF(J177="",1,IF(J177&gt;0,(J177/100)+1,(100/((-1)*J177))+1)))*(IF(K177="",1,IF(K177&gt;0,(K177/100)+1,(100/((-1)*K177))+1)))*(IF(L177="",1,IF(L177&gt;0,(L177/100)+1,(100/((-1)*L177))+1))))-1)*(100))))</f>
        <v>31517.61951</v>
      </c>
      <c r="P176" s="4"/>
      <c r="Q176" s="8" t="s">
        <v>35</v>
      </c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 ht="16.5" customHeight="1">
      <c r="A177" s="3" t="s">
        <v>13</v>
      </c>
      <c r="B177" s="2"/>
      <c r="C177" s="18">
        <f>'2025'!C30</f>
        <v>-135</v>
      </c>
      <c r="D177" s="18">
        <f>'2025'!D30</f>
        <v>-167</v>
      </c>
      <c r="E177" s="18">
        <f>'2025'!E30</f>
        <v>-152</v>
      </c>
      <c r="F177" s="18">
        <f>'2025'!F30</f>
        <v>-112</v>
      </c>
      <c r="G177" s="18">
        <f>'2025'!G30</f>
        <v>110</v>
      </c>
      <c r="H177" s="18">
        <f>'2025'!H30</f>
        <v>-120</v>
      </c>
      <c r="I177" s="18">
        <f>'2025'!I30</f>
        <v>-130</v>
      </c>
      <c r="J177" s="18">
        <f>'2025'!J30</f>
        <v>-105</v>
      </c>
      <c r="K177" s="18">
        <f>'2025'!K30</f>
        <v>-159</v>
      </c>
      <c r="L177" s="18">
        <f>'2025'!L30</f>
        <v>-149</v>
      </c>
      <c r="M177" s="2">
        <v>3.0</v>
      </c>
      <c r="N177" s="3" t="s">
        <v>36</v>
      </c>
      <c r="O177" s="10">
        <f>IF(AND(C177="",AND(D177="",AND(E177="",AND(F177="",AND(G177="",AND(H177="",AND(I177="",AND(J177="",AND(K177="",L177=""))))))))),"",10+IF((IF(((IF(C177="",1,IF(C177&gt;0,(C177/100)+1,(100/((-1)*C177))+1)))*(IF(D177="",1,IF(D177&gt;0,(D177/100)+1,(100/((-1)*D177))+1)))*(IF(E177="",1,IF(E177&gt;0,(E177/100)+1,(100/((-1)*E177))+1)))*(IF(F177="",1,IF(F177&gt;0,(F177/100)+1,(100/((-1)*F177))+1)))*(IF(G177="",1,IF(G177&gt;0,(G177/100)+1,(100/((-1)*G177))+1)))*(IF(H177="",1,IF(H177&gt;0,(H177/100)+1,(100/((-1)*H177))+1)))*(IF(I177="",1,IF(I177&gt;0,(I177/100)+1,(100/((-1)*I177))+1)))*(IF(J177="",1,IF(J177&gt;0,(J177/100)+1,(100/((-1)*J177))+1)))*(IF(K177="",1,IF(K177&gt;0,(K177/100)+1,(100/((-1)*K177))+1)))*(IF(L177="",1,IF(L177&gt;0,(L177/100)+1,(100/((-1)*L177))+1))))&lt;2,((-100)/(((IF(C177="",1,IF(C177&gt;0,(C177/100)+1,(100/((-1)*C177))+1)))*(IF(D177="",1,IF(D177&gt;0,(D177/100)+1,(100/((-1)*D177))+1)))*(IF(E177="",1,IF(E177&gt;0,(E177/100)+1,(100/((-1)*E177))+1)))*(IF(F177="",1,IF(F177&gt;0,(F177/100)+1,(100/((-1)*F177))+1)))*(IF(G177="",1,IF(G177&gt;0,(G177/100)+1,(100/((-1)*G177))+1)))*(IF(H177="",1,IF(H177&gt;0,(H177/100)+1,(100/((-1)*H177))+1)))*(IF(I177="",1,IF(I177&gt;0,(I177/100)+1,(100/((-1)*I177))+1)))*(IF(J177="",1,IF(J177&gt;0,(J177/100)+1,(100/((-1)*J177))+1)))*(IF(K177="",1,IF(K177&gt;0,(K177/100)+1,(100/((-1)*K177))+1)))*(IF(L177="",1,IF(L177&gt;0,(L177/100)+1,(100/((-1)*L177))+1))))-1)),((((IF(C177="",1,IF(C177&gt;0,(C177/100)+1,(100/((-1)*C177))+1)))*(IF(D177="",1,IF(D177&gt;0,(D177/100)+1,(100/((-1)*D177))+1)))*(IF(E177="",1,IF(E177&gt;0,(E177/100)+1,(100/((-1)*E177))+1)))*(IF(F177="",1,IF(F177&gt;0,(F177/100)+1,(100/((-1)*F177))+1)))*(IF(G177="",1,IF(G177&gt;0,(G177/100)+1,(100/((-1)*G177))+1)))*(IF(H177="",1,IF(H177&gt;0,(H177/100)+1,(100/((-1)*H177))+1)))*(IF(I177="",1,IF(I177&gt;0,(I177/100)+1,(100/((-1)*I177))+1)))*(IF(J177="",1,IF(J177&gt;0,(J177/100)+1,(100/((-1)*J177))+1)))*(IF(K177="",1,IF(K177&gt;0,(K177/100)+1,(100/((-1)*K177))+1)))*(IF(L177="",1,IF(L177&gt;0,(L177/100)+1,(100/((-1)*L177))+1))))-1)*(100))))&lt;0,(((-100)/((IF(((IF(C177="",1,IF(C177&gt;0,(C177/100)+1,(100/((-1)*C177))+1)))*(IF(D177="",1,IF(D177&gt;0,(D177/100)+1,(100/((-1)*D177))+1)))*(IF(E177="",1,IF(E177&gt;0,(E177/100)+1,(100/((-1)*E177))+1)))*(IF(F177="",1,IF(F177&gt;0,(F177/100)+1,(100/((-1)*F177))+1)))*(IF(G177="",1,IF(G177&gt;0,(G177/100)+1,(100/((-1)*G177))+1)))*(IF(H177="",1,IF(H177&gt;0,(H177/100)+1,(100/((-1)*H177))+1)))*(IF(I177="",1,IF(I177&gt;0,(I177/100)+1,(100/((-1)*I177))+1)))*(IF(J177="",1,IF(J177&gt;0,(J177/100)+1,(100/((-1)*J177))+1)))*(IF(K177="",1,IF(K177&gt;0,(K177/100)+1,(100/((-1)*K177))+1)))*(IF(L177="",1,IF(L177&gt;0,(L177/100)+1,(100/((-1)*L177))+1))))&lt;2,((-100)/(((IF(C177="",1,IF(C177&gt;0,(C177/100)+1,(100/((-1)*C177))+1)))*(IF(D177="",1,IF(D177&gt;0,(D177/100)+1,(100/((-1)*D177))+1)))*(IF(E177="",1,IF(E177&gt;0,(E177/100)+1,(100/((-1)*E177))+1)))*(IF(F177="",1,IF(F177&gt;0,(F177/100)+1,(100/((-1)*F177))+1)))*(IF(G177="",1,IF(G177&gt;0,(G177/100)+1,(100/((-1)*G177))+1)))*(IF(H177="",1,IF(H177&gt;0,(H177/100)+1,(100/((-1)*H177))+1)))*(IF(I177="",1,IF(I177&gt;0,(I177/100)+1,(100/((-1)*I177))+1)))*(IF(J177="",1,IF(J177&gt;0,(J177/100)+1,(100/((-1)*J177))+1)))*(IF(K177="",1,IF(K177&gt;0,(K177/100)+1,(100/((-1)*K177))+1)))*(IF(L177="",1,IF(L177&gt;0,(L177/100)+1,(100/((-1)*L177))+1))))-1)),((((IF(C177="",1,IF(C177&gt;0,(C177/100)+1,(100/((-1)*C177))+1)))*(IF(D177="",1,IF(D177&gt;0,(D177/100)+1,(100/((-1)*D177))+1)))*(IF(E177="",1,IF(E177&gt;0,(E177/100)+1,(100/((-1)*E177))+1)))*(IF(F177="",1,IF(F177&gt;0,(F177/100)+1,(100/((-1)*F177))+1)))*(IF(G177="",1,IF(G177&gt;0,(G177/100)+1,(100/((-1)*G177))+1)))*(IF(H177="",1,IF(H177&gt;0,(H177/100)+1,(100/((-1)*H177))+1)))*(IF(I177="",1,IF(I177&gt;0,(I177/100)+1,(100/((-1)*I177))+1)))*(IF(J177="",1,IF(J177&gt;0,(J177/100)+1,(100/((-1)*J177))+1)))*(IF(K177="",1,IF(K177&gt;0,(K177/100)+1,(100/((-1)*K177))+1)))*(IF(L177="",1,IF(L177&gt;0,(L177/100)+1,(100/((-1)*L177))+1))))-1)*(100))))))*10),(((IF(((IF(C177="",1,IF(C177&gt;0,(C177/100)+1,(100/((-1)*C177))+1)))*(IF(D177="",1,IF(D177&gt;0,(D177/100)+1,(100/((-1)*D177))+1)))*(IF(E177="",1,IF(E177&gt;0,(E177/100)+1,(100/((-1)*E177))+1)))*(IF(F177="",1,IF(F177&gt;0,(F177/100)+1,(100/((-1)*F177))+1)))*(IF(G177="",1,IF(G177&gt;0,(G177/100)+1,(100/((-1)*G177))+1)))*(IF(H177="",1,IF(H177&gt;0,(H177/100)+1,(100/((-1)*H177))+1)))*(IF(I177="",1,IF(I177&gt;0,(I177/100)+1,(100/((-1)*I177))+1)))*(IF(J177="",1,IF(J177&gt;0,(J177/100)+1,(100/((-1)*J177))+1)))*(IF(K177="",1,IF(K177&gt;0,(K177/100)+1,(100/((-1)*K177))+1)))*(IF(L177="",1,IF(L177&gt;0,(L177/100)+1,(100/((-1)*L177))+1))))&lt;2,((-100)/(((IF(C177="",1,IF(C177&gt;0,(C177/100)+1,(100/((-1)*C177))+1)))*(IF(D177="",1,IF(D177&gt;0,(D177/100)+1,(100/((-1)*D177))+1)))*(IF(E177="",1,IF(E177&gt;0,(E177/100)+1,(100/((-1)*E177))+1)))*(IF(F177="",1,IF(F177&gt;0,(F177/100)+1,(100/((-1)*F177))+1)))*(IF(G177="",1,IF(G177&gt;0,(G177/100)+1,(100/((-1)*G177))+1)))*(IF(H177="",1,IF(H177&gt;0,(H177/100)+1,(100/((-1)*H177))+1)))*(IF(I177="",1,IF(I177&gt;0,(I177/100)+1,(100/((-1)*I177))+1)))*(IF(J177="",1,IF(J177&gt;0,(J177/100)+1,(100/((-1)*J177))+1)))*(IF(K177="",1,IF(K177&gt;0,(K177/100)+1,(100/((-1)*K177))+1)))*(IF(L177="",1,IF(L177&gt;0,(L177/100)+1,(100/((-1)*L177))+1))))-1)),((((IF(C177="",1,IF(C177&gt;0,(C177/100)+1,(100/((-1)*C177))+1)))*(IF(D177="",1,IF(D177&gt;0,(D177/100)+1,(100/((-1)*D177))+1)))*(IF(E177="",1,IF(E177&gt;0,(E177/100)+1,(100/((-1)*E177))+1)))*(IF(F177="",1,IF(F177&gt;0,(F177/100)+1,(100/((-1)*F177))+1)))*(IF(G177="",1,IF(G177&gt;0,(G177/100)+1,(100/((-1)*G177))+1)))*(IF(H177="",1,IF(H177&gt;0,(H177/100)+1,(100/((-1)*H177))+1)))*(IF(I177="",1,IF(I177&gt;0,(I177/100)+1,(100/((-1)*I177))+1)))*(IF(J177="",1,IF(J177&gt;0,(J177/100)+1,(100/((-1)*J177))+1)))*(IF(K177="",1,IF(K177&gt;0,(K177/100)+1,(100/((-1)*K177))+1)))*(IF(L177="",1,IF(L177&gt;0,(L177/100)+1,(100/((-1)*L177))+1))))-1)*(100))))/100)*10)))</f>
        <v>3161.761951</v>
      </c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 ht="16.5" customHeight="1">
      <c r="A178" s="3" t="s">
        <v>37</v>
      </c>
      <c r="B178" s="2"/>
      <c r="C178" s="18" t="str">
        <f>'2025'!C31</f>
        <v>Colts @ Titans</v>
      </c>
      <c r="D178" s="18" t="str">
        <f>'2025'!D31</f>
        <v>Bengals @ Vikings</v>
      </c>
      <c r="E178" s="18" t="str">
        <f>'2025'!E31</f>
        <v>Chiefs @ Giants</v>
      </c>
      <c r="F178" s="18" t="str">
        <f>'2025'!F31</f>
        <v>Cowboys @ Bears</v>
      </c>
      <c r="G178" s="18" t="str">
        <f>'2025'!G31</f>
        <v>Texans @ Jaguars</v>
      </c>
      <c r="H178" s="18" t="str">
        <f>'2025'!H31</f>
        <v>Lions @ Ravens</v>
      </c>
      <c r="I178" s="18" t="str">
        <f>'2025'!I31</f>
        <v>Steelers @ Patriots</v>
      </c>
      <c r="J178" s="18" t="str">
        <f>'2025'!J31</f>
        <v>Raiders @ Commanders</v>
      </c>
      <c r="K178" s="18" t="str">
        <f>'2025'!K31</f>
        <v>Broncos @ Chargers</v>
      </c>
      <c r="L178" s="18" t="str">
        <f>'2025'!L31</f>
        <v>Packers @ Browns</v>
      </c>
      <c r="M178" s="2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 ht="16.5" customHeight="1">
      <c r="A179" s="3" t="s">
        <v>48</v>
      </c>
      <c r="B179" s="2"/>
      <c r="C179" s="18" t="str">
        <f>'2025'!C32</f>
        <v>2 FGs Made</v>
      </c>
      <c r="D179" s="18" t="str">
        <f>'2025'!D32</f>
        <v>10-48</v>
      </c>
      <c r="E179" s="18" t="str">
        <f>'2025'!E32</f>
        <v>1 Pass TD</v>
      </c>
      <c r="F179" s="18" t="str">
        <f>'2025'!F32</f>
        <v>14-31</v>
      </c>
      <c r="G179" s="32">
        <f>'2025'!G32</f>
        <v>45947</v>
      </c>
      <c r="H179" s="18" t="str">
        <f>'2025'!H32</f>
        <v>38-30</v>
      </c>
      <c r="I179" s="18" t="str">
        <f>'2025'!I32</f>
        <v>21-14</v>
      </c>
      <c r="J179" s="18" t="str">
        <f>'2025'!J32</f>
        <v>24-41</v>
      </c>
      <c r="K179" s="18" t="str">
        <f>'2025'!K32</f>
        <v>20-23</v>
      </c>
      <c r="L179" s="18" t="str">
        <f>'2025'!L32</f>
        <v>0 TD &amp; Packers Lose</v>
      </c>
      <c r="M179" s="2"/>
      <c r="N179" s="4"/>
      <c r="O179" s="3" t="s">
        <v>56</v>
      </c>
      <c r="P179" s="3" t="s">
        <v>57</v>
      </c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 ht="16.5" customHeight="1">
      <c r="A180" s="3" t="s">
        <v>59</v>
      </c>
      <c r="B180" s="2"/>
      <c r="C180" s="18" t="str">
        <f>'2025'!C33</f>
        <v>W</v>
      </c>
      <c r="D180" s="18" t="str">
        <f>'2025'!D33</f>
        <v>W</v>
      </c>
      <c r="E180" s="18" t="str">
        <f>'2025'!E33</f>
        <v>L</v>
      </c>
      <c r="F180" s="18" t="str">
        <f>'2025'!F33</f>
        <v>L</v>
      </c>
      <c r="G180" s="18" t="str">
        <f>'2025'!G33</f>
        <v>L</v>
      </c>
      <c r="H180" s="18" t="str">
        <f>'2025'!H33</f>
        <v>L</v>
      </c>
      <c r="I180" s="18" t="str">
        <f>'2025'!I33</f>
        <v>L</v>
      </c>
      <c r="J180" s="18" t="str">
        <f>'2025'!J33</f>
        <v>L</v>
      </c>
      <c r="K180" s="18" t="str">
        <f>'2025'!K33</f>
        <v>W</v>
      </c>
      <c r="L180" s="18" t="str">
        <f>'2025'!L33</f>
        <v>L</v>
      </c>
      <c r="M180" s="2"/>
      <c r="N180" s="3" t="s">
        <v>65</v>
      </c>
      <c r="O180" s="12" t="str">
        <f>IFERROR(__xludf.DUMMYFUNCTION("IF(OR(COUNTA(C177:L177) = 0, COUNTA(C180:L180) = 0), """", IFERROR(TEXTJOIN("", "", TRUE, FILTER(C174:L174, (C180:L180 = ""W"") * (C177:L177 = MAX(FILTER(C177:L177, C180:L180 = ""W""))))), """"))"),"Austin")</f>
        <v>Austin</v>
      </c>
      <c r="P180" s="12" t="str">
        <f>IFERROR(__xludf.DUMMYFUNCTION("IF(COUNTA(C185:L185) = 0, """", IFERROR(TEXTJOIN("", "", TRUE, FILTER(C174:L174, C185:L185 = MAX(C185:L185))), """"))"),"Carson")</f>
        <v>Carson</v>
      </c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 ht="16.5" customHeight="1">
      <c r="A181" s="1" t="s">
        <v>81</v>
      </c>
      <c r="B181" s="2"/>
      <c r="C181" s="4">
        <f t="shared" ref="C181:L181" si="53">IF(OR(C177="",C180=""),"",C168+COUNTIF(C180,"W"))</f>
        <v>9</v>
      </c>
      <c r="D181" s="4">
        <f t="shared" si="53"/>
        <v>12</v>
      </c>
      <c r="E181" s="4">
        <f t="shared" si="53"/>
        <v>7</v>
      </c>
      <c r="F181" s="4">
        <f t="shared" si="53"/>
        <v>10</v>
      </c>
      <c r="G181" s="4">
        <f t="shared" si="53"/>
        <v>6</v>
      </c>
      <c r="H181" s="4">
        <f t="shared" si="53"/>
        <v>7</v>
      </c>
      <c r="I181" s="4">
        <f t="shared" si="53"/>
        <v>5</v>
      </c>
      <c r="J181" s="4">
        <f t="shared" si="53"/>
        <v>9</v>
      </c>
      <c r="K181" s="4">
        <f t="shared" si="53"/>
        <v>5</v>
      </c>
      <c r="L181" s="4">
        <f t="shared" si="53"/>
        <v>8</v>
      </c>
      <c r="M181" s="2"/>
      <c r="N181" s="3" t="s">
        <v>82</v>
      </c>
      <c r="O181" s="4" t="str">
        <f>IFERROR(__xludf.DUMMYFUNCTION("IF(OR(COUNTA(C177:L177) = 0, COUNTA(C180:L180) = 0), """", IFERROR(TEXTJOIN("", "", TRUE, FILTER(C174:L174, (C180:L180 = ""L"") * (C177:L177 = MIN(FILTER(C177:L177, C180:L180 = ""L""))))), """"))"),"Clayton")</f>
        <v>Clayton</v>
      </c>
      <c r="P181" s="12" t="str">
        <f>IFERROR(__xludf.DUMMYFUNCTION("IF(COUNTA(C185:L185) = 0, """", IFERROR(TEXTJOIN("", "", TRUE, FILTER(C174:L174, C185:L185 = MIN(C185:L185))), """"))"),"Nick")</f>
        <v>Nick</v>
      </c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 ht="16.5" customHeight="1">
      <c r="A182" s="1" t="s">
        <v>83</v>
      </c>
      <c r="B182" s="2"/>
      <c r="C182" s="27">
        <f t="shared" ref="C182:L182" si="54">IF(OR(C177="",C180=""),"",C169+COUNTIF(C180,"L"))</f>
        <v>5</v>
      </c>
      <c r="D182" s="27">
        <f t="shared" si="54"/>
        <v>2</v>
      </c>
      <c r="E182" s="27">
        <f t="shared" si="54"/>
        <v>7</v>
      </c>
      <c r="F182" s="27">
        <f t="shared" si="54"/>
        <v>4</v>
      </c>
      <c r="G182" s="27">
        <f t="shared" si="54"/>
        <v>8</v>
      </c>
      <c r="H182" s="27">
        <f t="shared" si="54"/>
        <v>7</v>
      </c>
      <c r="I182" s="27">
        <f t="shared" si="54"/>
        <v>9</v>
      </c>
      <c r="J182" s="27">
        <f t="shared" si="54"/>
        <v>5</v>
      </c>
      <c r="K182" s="27">
        <f t="shared" si="54"/>
        <v>9</v>
      </c>
      <c r="L182" s="27">
        <f t="shared" si="54"/>
        <v>6</v>
      </c>
      <c r="M182" s="2"/>
      <c r="N182" s="3" t="s">
        <v>84</v>
      </c>
      <c r="O182" s="12" t="str">
        <f>IFERROR(__xludf.DUMMYFUNCTION("IF(COUNTA(C177:L177) = 0, """", IFERROR(TEXTJOIN("", "", TRUE, FILTER(C174:L174, C177:L177 = MAX(C177:L177))), """"))"),"Hunter")</f>
        <v>Hunter</v>
      </c>
      <c r="P182" s="4" t="str">
        <f>IFERROR(__xludf.DUMMYFUNCTION("IF(COUNTA(C177:L177) = 0, """", IFERROR(TEXTJOIN("", "", TRUE, FILTER(C174:L174, C184:L184 = MAX(C184:L184))), """"))"),"Hunter")</f>
        <v>Hunter</v>
      </c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 ht="16.5" customHeight="1">
      <c r="A183" s="3" t="s">
        <v>85</v>
      </c>
      <c r="B183" s="2"/>
      <c r="C183" s="24">
        <f t="shared" ref="C183:L183" si="55">IF(OR(C177="",C180=""),"",(C181/(C181+C182)))</f>
        <v>0.6428571429</v>
      </c>
      <c r="D183" s="24">
        <f t="shared" si="55"/>
        <v>0.8571428571</v>
      </c>
      <c r="E183" s="24">
        <f t="shared" si="55"/>
        <v>0.5</v>
      </c>
      <c r="F183" s="24">
        <f t="shared" si="55"/>
        <v>0.7142857143</v>
      </c>
      <c r="G183" s="24">
        <f t="shared" si="55"/>
        <v>0.4285714286</v>
      </c>
      <c r="H183" s="24">
        <f t="shared" si="55"/>
        <v>0.5</v>
      </c>
      <c r="I183" s="24">
        <f t="shared" si="55"/>
        <v>0.3571428571</v>
      </c>
      <c r="J183" s="24">
        <f t="shared" si="55"/>
        <v>0.6428571429</v>
      </c>
      <c r="K183" s="24">
        <f t="shared" si="55"/>
        <v>0.3571428571</v>
      </c>
      <c r="L183" s="24">
        <f t="shared" si="55"/>
        <v>0.5714285714</v>
      </c>
      <c r="M183" s="14"/>
      <c r="N183" s="3" t="s">
        <v>86</v>
      </c>
      <c r="O183" s="4" t="str">
        <f>IFERROR(__xludf.DUMMYFUNCTION("IF(COUNTA(C177:L177) = 0, """", IFERROR(TEXTJOIN("", "", TRUE, FILTER(C174:L174, C177:L177 = MIN(C177:L177))), """"))"),"Carson")</f>
        <v>Carson</v>
      </c>
      <c r="P183" s="4" t="str">
        <f>IFERROR(__xludf.DUMMYFUNCTION("IF(COUNTA(C177:L177) = 0, """", IFERROR(TEXTJOIN("", "", TRUE, FILTER(C174:L174, C184:L184 = MIN(C184:L184))), """"))"),"Carson")</f>
        <v>Carson</v>
      </c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 ht="16.5" customHeight="1">
      <c r="A184" s="3" t="s">
        <v>87</v>
      </c>
      <c r="B184" s="2"/>
      <c r="C184" s="25">
        <f t="shared" ref="C184:L184" si="56">IF(C177="","",IF(((IF(C177 &lt;0,((-100/C177)+1),((C177/100)+1))+(IF(C171&lt;0,((-100/C171)+1),((C171/100)+1)))*(C168+C169))/(C168+C169+1))&lt;2,(-100/(((IF(C177 &lt;0,((-100/C177)+1),((C177/100)+1))+(IF(C171&lt;0,((-100/C171)+1),((C171/100)+1)))*(C168+C169))/(C168+C169+1))-1)),(((IF(C177 &lt;0,((-100/C177)+1),((C177/100)+1))+(IF(C171&lt;0,((-100/C171)+1),((C171/100)+1)))*(C168+C169))/(C168+C169+1))-1)*100))</f>
        <v>-120.0699168</v>
      </c>
      <c r="D184" s="25">
        <f t="shared" si="56"/>
        <v>-139.7080125</v>
      </c>
      <c r="E184" s="25">
        <f t="shared" si="56"/>
        <v>-111.683647</v>
      </c>
      <c r="F184" s="25">
        <f t="shared" si="56"/>
        <v>-123.9280625</v>
      </c>
      <c r="G184" s="25">
        <f t="shared" si="56"/>
        <v>103.9355328</v>
      </c>
      <c r="H184" s="25">
        <f t="shared" si="56"/>
        <v>103.4821596</v>
      </c>
      <c r="I184" s="25">
        <f t="shared" si="56"/>
        <v>-122.5425635</v>
      </c>
      <c r="J184" s="25">
        <f t="shared" si="56"/>
        <v>-116.5466581</v>
      </c>
      <c r="K184" s="25">
        <f t="shared" si="56"/>
        <v>-119.1060212</v>
      </c>
      <c r="L184" s="25">
        <f t="shared" si="56"/>
        <v>-108.4137017</v>
      </c>
      <c r="M184" s="14"/>
      <c r="N184" s="4"/>
      <c r="O184" s="12"/>
      <c r="P184" s="12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 ht="16.5" customHeight="1">
      <c r="A185" s="16" t="s">
        <v>88</v>
      </c>
      <c r="B185" s="2"/>
      <c r="C185" s="26">
        <f>IFERROR(__xludf.DUMMYFUNCTION("IF(OR(C177="""",C180=""""),"""",IF(REGEXMATCH(C180,""W""),IF(C177&lt;0,((-100/C177))*10+C172,((C177/100)*10+C172)),-10+C172))"),21.165241536765542)</f>
        <v>21.16524154</v>
      </c>
      <c r="D185" s="26">
        <f>IFERROR(__xludf.DUMMYFUNCTION("IF(OR(D177="""",D180=""""),"""",IF(REGEXMATCH(D180,""W""),IF(D177&lt;0,((-100/D177))*10+D172,((D177/100)*10+D172)),-10+D172))"),62.801590984430874)</f>
        <v>62.80159098</v>
      </c>
      <c r="E185" s="26">
        <f>IFERROR(__xludf.DUMMYFUNCTION("IF(OR(E177="""",E180=""""),"""",IF(REGEXMATCH(E180,""W""),IF(E177&lt;0,((-100/E177))*10+E172,((E177/100)*10+E172)),-10+E172))"),-4.745122865110076)</f>
        <v>-4.745122865</v>
      </c>
      <c r="F185" s="26">
        <f>IFERROR(__xludf.DUMMYFUNCTION("IF(OR(F177="""",F180=""""),"""",IF(REGEXMATCH(F180,""W""),IF(F177&lt;0,((-100/F177))*10+F172,((F177/100)*10+F172)),-10+F172))"),37.17352554710719)</f>
        <v>37.17352555</v>
      </c>
      <c r="G185" s="26">
        <f>IFERROR(__xludf.DUMMYFUNCTION("IF(OR(G177="""",G180=""""),"""",IF(REGEXMATCH(G180,""W""),IF(G177&lt;0,((-100/G177))*10+G172,((G177/100)*10+G172)),-10+G172))"),-28.730762561290213)</f>
        <v>-28.73076256</v>
      </c>
      <c r="H185" s="26">
        <f>IFERROR(__xludf.DUMMYFUNCTION("IF(OR(H177="""",H180=""""),"""",IF(REGEXMATCH(H180,""W""),IF(H177&lt;0,((-100/H177))*10+H172,((H177/100)*10+H172)),-10+H172))"),-4.1982365986909755)</f>
        <v>-4.198236599</v>
      </c>
      <c r="I185" s="26">
        <f>IFERROR(__xludf.DUMMYFUNCTION("IF(OR(I177="""",I180=""""),"""",IF(REGEXMATCH(I180,""W""),IF(I177&lt;0,((-100/I177))*10+I172,((I177/100)*10+I172)),-10+I172))"),-58.764740791979136)</f>
        <v>-58.76474079</v>
      </c>
      <c r="J185" s="26">
        <f>IFERROR(__xludf.DUMMYFUNCTION("IF(OR(J177="""",J180=""""),"""",IF(REGEXMATCH(J180,""W""),IF(J177&lt;0,((-100/J177))*10+J172,((J177/100)*10+J172)),-10+J172))"),25.762907128150097)</f>
        <v>25.76290713</v>
      </c>
      <c r="K185" s="26">
        <f>IFERROR(__xludf.DUMMYFUNCTION("IF(OR(K177="""",K180=""""),"""",IF(REGEXMATCH(K180,""W""),IF(K177&lt;0,((-100/K177))*10+K172,((K177/100)*10+K172)),-10+K172))"),-49.15443172318388)</f>
        <v>-49.15443172</v>
      </c>
      <c r="L185" s="26">
        <f>IFERROR(__xludf.DUMMYFUNCTION("IF(OR(L177="""",L180=""""),"""",IF(REGEXMATCH(L180,""W""),IF(L177&lt;0,((-100/L177))*10+L172,((L177/100)*10+L172)),-10+L172))"),16.170542561112327)</f>
        <v>16.17054256</v>
      </c>
      <c r="M185" s="14"/>
      <c r="N185" s="16" t="s">
        <v>89</v>
      </c>
      <c r="O185" s="10">
        <f>IFERROR(__xludf.DUMMYFUNCTION("IF(AND(C185="""",AND(D185="""",AND(E185="""",AND(F185="""",AND(G185="""",AND(H185="""",AND(I185="""",AND(J185="""",AND(K185="""",L185=""""))))))))),"""",(IF(C180="""",0,IF(REGEXMATCH(C180,""W""),IF(C177&lt;0,((-100/C177))*10,((C177/100)*10)),-10))+IF(D180="""&amp;""",0,IF(REGEXMATCH(D180,""W""),IF(D177&lt;0,((-100/D177))*10,((D177/100)*10)),-10))+IF(E180="""",0,IF(REGEXMATCH(E180,""W""),IF(E177&lt;0,((-100/E177))*10,((E177/100)*10)),-10))+IF(F180="""",0,IF(REGEXMATCH(F180,""W""),IF(F177&lt;0,((-100/F177))*10,((F177/100)*10)"&amp;"),-10))+IF(G180="""",0,IF(REGEXMATCH(G180,""W""),IF(G177&lt;0,((-100/G177))*10,((G177/100)*10)),-10))+IF(H180="""",0,IF(REGEXMATCH(H180,""W""),IF(H177&lt;0,((-100/H177))*10,((H177/100)*10)),-10))+IF(I180="""",0,IF(REGEXMATCH(I180,""W""),IF(I177&lt;0,((-100/I177))*"&amp;"10,((I177/100)*10)),-10))+IF(J180="""",0,IF(REGEXMATCH(J180,""W""),IF(J177&lt;0,((-100/J177))*10,((J177/100)*10)),-10))+IF(K180="""",0,IF(REGEXMATCH(K180,""W""),IF(K177&lt;0,((-100/K177))*10,((K177/100)*10)),-10))+IF(L180="""",0,IF(REGEXMATCH(L180,""W""),IF(L17"&amp;"7&lt;0,((-100/L177))*10,((L177/100)*10)),-10))))"),-50.31526046439616)</f>
        <v>-50.31526046</v>
      </c>
      <c r="P185" s="10">
        <f>IFERROR(__xludf.DUMMYFUNCTION("IF(AND(C185="""",AND(D185="""",AND(E185="""",AND(F185="""",AND(G185="""",AND(H185="""",AND(I185="""",AND(J185="""",AND(K185="""",L185=""""))))))))),"""",(P172+IF(C180="""",0,IF(REGEXMATCH(C180,""W""),IF(C177&lt;0,((-100/C177))*10,((C177/100)*10)),-10))+IF(D1"&amp;"80="""",0,IF(REGEXMATCH(D180,""W""),IF(D177&lt;0,((-100/D177))*10,((D177/100)*10)),-10))+IF(E180="""",0,IF(REGEXMATCH(E180,""W""),IF(E177&lt;0,((-100/E177))*10,((E177/100)*10)),-10))+IF(F180="""",0,IF(REGEXMATCH(F180,""W""),IF(F177&lt;0,((-100/F177))*10,((F177/100"&amp;")*10)),-10))+IF(G180="""",0,IF(REGEXMATCH(G180,""W""),IF(G177&lt;0,((-100/G177))*10,((G177/100)*10)),-10))+IF(H180="""",0,IF(REGEXMATCH(H180,""W""),IF(H177&lt;0,((-100/H177))*10,((H177/100)*10)),-10))+IF(I180="""",0,IF(REGEXMATCH(I180,""W""),IF(I177&lt;0,((-100/I1"&amp;"77))*10,((I177/100)*10)),-10))+IF(J180="""",0,IF(REGEXMATCH(J180,""W""),IF(J177&lt;0,((-100/J177))*10,((J177/100)*10)),-10))+IF(K180="""",0,IF(REGEXMATCH(K180,""W""),IF(K177&lt;0,((-100/K177))*10,((K177/100)*10)),-10))+IF(L180="""",0,IF(REGEXMATCH(L180,""W""),I"&amp;"F(L177&lt;0,((-100/L177))*10,((L177/100)*10)),-10))))"),17.480513217311678)</f>
        <v>17.48051322</v>
      </c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 ht="16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 ht="16.5" customHeight="1">
      <c r="A187" s="1" t="s">
        <v>205</v>
      </c>
      <c r="B187" s="2"/>
      <c r="C187" s="3" t="s">
        <v>1</v>
      </c>
      <c r="D187" s="3" t="s">
        <v>2</v>
      </c>
      <c r="E187" s="3" t="s">
        <v>3</v>
      </c>
      <c r="F187" s="3" t="s">
        <v>4</v>
      </c>
      <c r="G187" s="3" t="s">
        <v>5</v>
      </c>
      <c r="H187" s="3" t="s">
        <v>6</v>
      </c>
      <c r="I187" s="3" t="s">
        <v>7</v>
      </c>
      <c r="J187" s="3" t="s">
        <v>8</v>
      </c>
      <c r="K187" s="3" t="s">
        <v>9</v>
      </c>
      <c r="L187" s="3" t="s">
        <v>10</v>
      </c>
      <c r="M187" s="2"/>
      <c r="N187" s="4"/>
      <c r="O187" s="3" t="s">
        <v>11</v>
      </c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 ht="16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 ht="16.5" customHeight="1">
      <c r="A189" s="3" t="s">
        <v>12</v>
      </c>
      <c r="B189" s="2"/>
      <c r="C189" s="12" t="str">
        <f>'2025'!C42</f>
        <v>Vikings Moneyline</v>
      </c>
      <c r="D189" s="12" t="str">
        <f>'2025'!D42</f>
        <v>Saints +17.5</v>
      </c>
      <c r="E189" s="12" t="str">
        <f>'2025'!E42</f>
        <v>Commanders +3.5</v>
      </c>
      <c r="F189" s="12" t="str">
        <f>'2025'!F42</f>
        <v>Ravens -2.5</v>
      </c>
      <c r="G189" s="12" t="str">
        <f>'2025'!G42</f>
        <v>J. Gibbs Over 93.5 Rush+Rec. Yards</v>
      </c>
      <c r="H189" s="12" t="str">
        <f>'2025'!H42</f>
        <v>Eagles -3.5</v>
      </c>
      <c r="I189" s="12" t="str">
        <f>'2025'!I42</f>
        <v>Chargers -6.5</v>
      </c>
      <c r="J189" s="12" t="str">
        <f>'2025'!J42</f>
        <v>C. Williams Over 1.5 Pass TDs</v>
      </c>
      <c r="K189" s="12" t="str">
        <f>'2025'!K42</f>
        <v>Johnathan Taylor Over 2.5 Recs</v>
      </c>
      <c r="L189" s="12" t="str">
        <f>'2025'!L42</f>
        <v>Over 5.5 Total TDs</v>
      </c>
      <c r="M189" s="2"/>
      <c r="N189" s="3" t="s">
        <v>13</v>
      </c>
      <c r="O189" s="7">
        <f>IF(AND(C190="",AND(D190="",AND(E190="",AND(F190="",AND(G190="",AND(H190="",AND(I190="",AND(J190="",AND(K190="",L190=""))))))))),"",IF(((IF(C190="",1,IF(C190&gt;0,(C190/100)+1,(100/((-1)*C190))+1)))*(IF(D190="",1,IF(D190&gt;0,(D190/100)+1,(100/((-1)*D190))+1)))*(IF(E190="",1,IF(E190&gt;0,(E190/100)+1,(100/((-1)*E190))+1)))*(IF(F190="",1,IF(F190&gt;0,(F190/100)+1,(100/((-1)*F190))+1)))*(IF(G190="",1,IF(G190&gt;0,(G190/100)+1,(100/((-1)*G190))+1)))*(IF(H190="",1,IF(H190&gt;0,(H190/100)+1,(100/((-1)*H190))+1)))*(IF(I190="",1,IF(I190&gt;0,(I190/100)+1,(100/((-1)*I190))+1)))*(IF(J190="",1,IF(J190&gt;0,(J190/100)+1,(100/((-1)*J190))+1)))*(IF(K190="",1,IF(K190&gt;0,(K190/100)+1,(100/((-1)*K190))+1)))*(IF(L190="",1,IF(L190&gt;0,(L190/100)+1,(100/((-1)*L190))+1))))&lt;2,((-100)/(((IF(C190="",1,IF(C190&gt;0,(C190/100)+1,(100/((-1)*C190))+1)))*(IF(D190="",1,IF(D190&gt;0,(D190/100)+1,(100/((-1)*D190))+1)))*(IF(E190="",1,IF(E190&gt;0,(E190/100)+1,(100/((-1)*E190))+1)))*(IF(F190="",1,IF(F190&gt;0,(F190/100)+1,(100/((-1)*F190))+1)))*(IF(G190="",1,IF(G190&gt;0,(G190/100)+1,(100/((-1)*G190))+1)))*(IF(H190="",1,IF(H190&gt;0,(H190/100)+1,(100/((-1)*H190))+1)))*(IF(I190="",1,IF(I190&gt;0,(I190/100)+1,(100/((-1)*I190))+1)))*(IF(J190="",1,IF(J190&gt;0,(J190/100)+1,(100/((-1)*J190))+1)))*(IF(K190="",1,IF(K190&gt;0,(K190/100)+1,(100/((-1)*K190))+1)))*(IF(L190="",1,IF(L190&gt;0,(L190/100)+1,(100/((-1)*L190))+1))))-1)),((((IF(C190="",1,IF(C190&gt;0,(C190/100)+1,(100/((-1)*C190))+1)))*(IF(D190="",1,IF(D190&gt;0,(D190/100)+1,(100/((-1)*D190))+1)))*(IF(E190="",1,IF(E190&gt;0,(E190/100)+1,(100/((-1)*E190))+1)))*(IF(F190="",1,IF(F190&gt;0,(F190/100)+1,(100/((-1)*F190))+1)))*(IF(G190="",1,IF(G190&gt;0,(G190/100)+1,(100/((-1)*G190))+1)))*(IF(H190="",1,IF(H190&gt;0,(H190/100)+1,(100/((-1)*H190))+1)))*(IF(I190="",1,IF(I190&gt;0,(I190/100)+1,(100/((-1)*I190))+1)))*(IF(J190="",1,IF(J190&gt;0,(J190/100)+1,(100/((-1)*J190))+1)))*(IF(K190="",1,IF(K190&gt;0,(K190/100)+1,(100/((-1)*K190))+1)))*(IF(L190="",1,IF(L190&gt;0,(L190/100)+1,(100/((-1)*L190))+1))))-1)*(100))))</f>
        <v>53675.97404</v>
      </c>
      <c r="P189" s="4"/>
      <c r="Q189" s="8" t="s">
        <v>35</v>
      </c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 ht="16.5" customHeight="1">
      <c r="A190" s="3" t="s">
        <v>13</v>
      </c>
      <c r="B190" s="2"/>
      <c r="C190" s="18">
        <f>'2025'!C43</f>
        <v>-145</v>
      </c>
      <c r="D190" s="18">
        <f>'2025'!D43</f>
        <v>-130</v>
      </c>
      <c r="E190" s="18">
        <f>'2025'!E43</f>
        <v>-152</v>
      </c>
      <c r="F190" s="18">
        <f>'2025'!F43</f>
        <v>-125</v>
      </c>
      <c r="G190" s="18">
        <f>'2025'!G43</f>
        <v>-119</v>
      </c>
      <c r="H190" s="18">
        <f>'2025'!H43</f>
        <v>-112</v>
      </c>
      <c r="I190" s="18">
        <f>'2025'!I43</f>
        <v>-105</v>
      </c>
      <c r="J190" s="18">
        <f>'2025'!J43</f>
        <v>-109</v>
      </c>
      <c r="K190" s="18">
        <f>'2025'!K43</f>
        <v>115</v>
      </c>
      <c r="L190" s="18">
        <f>'2025'!L43</f>
        <v>115</v>
      </c>
      <c r="M190" s="2">
        <v>4.0</v>
      </c>
      <c r="N190" s="3" t="s">
        <v>36</v>
      </c>
      <c r="O190" s="10">
        <f>IF(AND(C190="",AND(D190="",AND(E190="",AND(F190="",AND(G190="",AND(H190="",AND(I190="",AND(J190="",AND(K190="",L190=""))))))))),"",10+IF((IF(((IF(C190="",1,IF(C190&gt;0,(C190/100)+1,(100/((-1)*C190))+1)))*(IF(D190="",1,IF(D190&gt;0,(D190/100)+1,(100/((-1)*D190))+1)))*(IF(E190="",1,IF(E190&gt;0,(E190/100)+1,(100/((-1)*E190))+1)))*(IF(F190="",1,IF(F190&gt;0,(F190/100)+1,(100/((-1)*F190))+1)))*(IF(G190="",1,IF(G190&gt;0,(G190/100)+1,(100/((-1)*G190))+1)))*(IF(H190="",1,IF(H190&gt;0,(H190/100)+1,(100/((-1)*H190))+1)))*(IF(I190="",1,IF(I190&gt;0,(I190/100)+1,(100/((-1)*I190))+1)))*(IF(J190="",1,IF(J190&gt;0,(J190/100)+1,(100/((-1)*J190))+1)))*(IF(K190="",1,IF(K190&gt;0,(K190/100)+1,(100/((-1)*K190))+1)))*(IF(L190="",1,IF(L190&gt;0,(L190/100)+1,(100/((-1)*L190))+1))))&lt;2,((-100)/(((IF(C190="",1,IF(C190&gt;0,(C190/100)+1,(100/((-1)*C190))+1)))*(IF(D190="",1,IF(D190&gt;0,(D190/100)+1,(100/((-1)*D190))+1)))*(IF(E190="",1,IF(E190&gt;0,(E190/100)+1,(100/((-1)*E190))+1)))*(IF(F190="",1,IF(F190&gt;0,(F190/100)+1,(100/((-1)*F190))+1)))*(IF(G190="",1,IF(G190&gt;0,(G190/100)+1,(100/((-1)*G190))+1)))*(IF(H190="",1,IF(H190&gt;0,(H190/100)+1,(100/((-1)*H190))+1)))*(IF(I190="",1,IF(I190&gt;0,(I190/100)+1,(100/((-1)*I190))+1)))*(IF(J190="",1,IF(J190&gt;0,(J190/100)+1,(100/((-1)*J190))+1)))*(IF(K190="",1,IF(K190&gt;0,(K190/100)+1,(100/((-1)*K190))+1)))*(IF(L190="",1,IF(L190&gt;0,(L190/100)+1,(100/((-1)*L190))+1))))-1)),((((IF(C190="",1,IF(C190&gt;0,(C190/100)+1,(100/((-1)*C190))+1)))*(IF(D190="",1,IF(D190&gt;0,(D190/100)+1,(100/((-1)*D190))+1)))*(IF(E190="",1,IF(E190&gt;0,(E190/100)+1,(100/((-1)*E190))+1)))*(IF(F190="",1,IF(F190&gt;0,(F190/100)+1,(100/((-1)*F190))+1)))*(IF(G190="",1,IF(G190&gt;0,(G190/100)+1,(100/((-1)*G190))+1)))*(IF(H190="",1,IF(H190&gt;0,(H190/100)+1,(100/((-1)*H190))+1)))*(IF(I190="",1,IF(I190&gt;0,(I190/100)+1,(100/((-1)*I190))+1)))*(IF(J190="",1,IF(J190&gt;0,(J190/100)+1,(100/((-1)*J190))+1)))*(IF(K190="",1,IF(K190&gt;0,(K190/100)+1,(100/((-1)*K190))+1)))*(IF(L190="",1,IF(L190&gt;0,(L190/100)+1,(100/((-1)*L190))+1))))-1)*(100))))&lt;0,(((-100)/((IF(((IF(C190="",1,IF(C190&gt;0,(C190/100)+1,(100/((-1)*C190))+1)))*(IF(D190="",1,IF(D190&gt;0,(D190/100)+1,(100/((-1)*D190))+1)))*(IF(E190="",1,IF(E190&gt;0,(E190/100)+1,(100/((-1)*E190))+1)))*(IF(F190="",1,IF(F190&gt;0,(F190/100)+1,(100/((-1)*F190))+1)))*(IF(G190="",1,IF(G190&gt;0,(G190/100)+1,(100/((-1)*G190))+1)))*(IF(H190="",1,IF(H190&gt;0,(H190/100)+1,(100/((-1)*H190))+1)))*(IF(I190="",1,IF(I190&gt;0,(I190/100)+1,(100/((-1)*I190))+1)))*(IF(J190="",1,IF(J190&gt;0,(J190/100)+1,(100/((-1)*J190))+1)))*(IF(K190="",1,IF(K190&gt;0,(K190/100)+1,(100/((-1)*K190))+1)))*(IF(L190="",1,IF(L190&gt;0,(L190/100)+1,(100/((-1)*L190))+1))))&lt;2,((-100)/(((IF(C190="",1,IF(C190&gt;0,(C190/100)+1,(100/((-1)*C190))+1)))*(IF(D190="",1,IF(D190&gt;0,(D190/100)+1,(100/((-1)*D190))+1)))*(IF(E190="",1,IF(E190&gt;0,(E190/100)+1,(100/((-1)*E190))+1)))*(IF(F190="",1,IF(F190&gt;0,(F190/100)+1,(100/((-1)*F190))+1)))*(IF(G190="",1,IF(G190&gt;0,(G190/100)+1,(100/((-1)*G190))+1)))*(IF(H190="",1,IF(H190&gt;0,(H190/100)+1,(100/((-1)*H190))+1)))*(IF(I190="",1,IF(I190&gt;0,(I190/100)+1,(100/((-1)*I190))+1)))*(IF(J190="",1,IF(J190&gt;0,(J190/100)+1,(100/((-1)*J190))+1)))*(IF(K190="",1,IF(K190&gt;0,(K190/100)+1,(100/((-1)*K190))+1)))*(IF(L190="",1,IF(L190&gt;0,(L190/100)+1,(100/((-1)*L190))+1))))-1)),((((IF(C190="",1,IF(C190&gt;0,(C190/100)+1,(100/((-1)*C190))+1)))*(IF(D190="",1,IF(D190&gt;0,(D190/100)+1,(100/((-1)*D190))+1)))*(IF(E190="",1,IF(E190&gt;0,(E190/100)+1,(100/((-1)*E190))+1)))*(IF(F190="",1,IF(F190&gt;0,(F190/100)+1,(100/((-1)*F190))+1)))*(IF(G190="",1,IF(G190&gt;0,(G190/100)+1,(100/((-1)*G190))+1)))*(IF(H190="",1,IF(H190&gt;0,(H190/100)+1,(100/((-1)*H190))+1)))*(IF(I190="",1,IF(I190&gt;0,(I190/100)+1,(100/((-1)*I190))+1)))*(IF(J190="",1,IF(J190&gt;0,(J190/100)+1,(100/((-1)*J190))+1)))*(IF(K190="",1,IF(K190&gt;0,(K190/100)+1,(100/((-1)*K190))+1)))*(IF(L190="",1,IF(L190&gt;0,(L190/100)+1,(100/((-1)*L190))+1))))-1)*(100))))))*10),(((IF(((IF(C190="",1,IF(C190&gt;0,(C190/100)+1,(100/((-1)*C190))+1)))*(IF(D190="",1,IF(D190&gt;0,(D190/100)+1,(100/((-1)*D190))+1)))*(IF(E190="",1,IF(E190&gt;0,(E190/100)+1,(100/((-1)*E190))+1)))*(IF(F190="",1,IF(F190&gt;0,(F190/100)+1,(100/((-1)*F190))+1)))*(IF(G190="",1,IF(G190&gt;0,(G190/100)+1,(100/((-1)*G190))+1)))*(IF(H190="",1,IF(H190&gt;0,(H190/100)+1,(100/((-1)*H190))+1)))*(IF(I190="",1,IF(I190&gt;0,(I190/100)+1,(100/((-1)*I190))+1)))*(IF(J190="",1,IF(J190&gt;0,(J190/100)+1,(100/((-1)*J190))+1)))*(IF(K190="",1,IF(K190&gt;0,(K190/100)+1,(100/((-1)*K190))+1)))*(IF(L190="",1,IF(L190&gt;0,(L190/100)+1,(100/((-1)*L190))+1))))&lt;2,((-100)/(((IF(C190="",1,IF(C190&gt;0,(C190/100)+1,(100/((-1)*C190))+1)))*(IF(D190="",1,IF(D190&gt;0,(D190/100)+1,(100/((-1)*D190))+1)))*(IF(E190="",1,IF(E190&gt;0,(E190/100)+1,(100/((-1)*E190))+1)))*(IF(F190="",1,IF(F190&gt;0,(F190/100)+1,(100/((-1)*F190))+1)))*(IF(G190="",1,IF(G190&gt;0,(G190/100)+1,(100/((-1)*G190))+1)))*(IF(H190="",1,IF(H190&gt;0,(H190/100)+1,(100/((-1)*H190))+1)))*(IF(I190="",1,IF(I190&gt;0,(I190/100)+1,(100/((-1)*I190))+1)))*(IF(J190="",1,IF(J190&gt;0,(J190/100)+1,(100/((-1)*J190))+1)))*(IF(K190="",1,IF(K190&gt;0,(K190/100)+1,(100/((-1)*K190))+1)))*(IF(L190="",1,IF(L190&gt;0,(L190/100)+1,(100/((-1)*L190))+1))))-1)),((((IF(C190="",1,IF(C190&gt;0,(C190/100)+1,(100/((-1)*C190))+1)))*(IF(D190="",1,IF(D190&gt;0,(D190/100)+1,(100/((-1)*D190))+1)))*(IF(E190="",1,IF(E190&gt;0,(E190/100)+1,(100/((-1)*E190))+1)))*(IF(F190="",1,IF(F190&gt;0,(F190/100)+1,(100/((-1)*F190))+1)))*(IF(G190="",1,IF(G190&gt;0,(G190/100)+1,(100/((-1)*G190))+1)))*(IF(H190="",1,IF(H190&gt;0,(H190/100)+1,(100/((-1)*H190))+1)))*(IF(I190="",1,IF(I190&gt;0,(I190/100)+1,(100/((-1)*I190))+1)))*(IF(J190="",1,IF(J190&gt;0,(J190/100)+1,(100/((-1)*J190))+1)))*(IF(K190="",1,IF(K190&gt;0,(K190/100)+1,(100/((-1)*K190))+1)))*(IF(L190="",1,IF(L190&gt;0,(L190/100)+1,(100/((-1)*L190))+1))))-1)*(100))))/100)*10)))</f>
        <v>5377.597404</v>
      </c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 ht="16.5" customHeight="1">
      <c r="A191" s="3" t="s">
        <v>37</v>
      </c>
      <c r="B191" s="2"/>
      <c r="C191" s="18" t="str">
        <f>'2025'!C44</f>
        <v>Vikings @ Steelers</v>
      </c>
      <c r="D191" s="18" t="str">
        <f>'2025'!D44</f>
        <v>Saints @ Bills</v>
      </c>
      <c r="E191" s="18" t="str">
        <f>'2025'!E44</f>
        <v>Commanders @ Falcons</v>
      </c>
      <c r="F191" s="18" t="str">
        <f>'2025'!F44</f>
        <v>Ravens @ Chiefs</v>
      </c>
      <c r="G191" s="18" t="str">
        <f>'2025'!G44</f>
        <v>Browns @ Lions</v>
      </c>
      <c r="H191" s="18" t="str">
        <f>'2025'!H44</f>
        <v>Eagles @ Bucaneers</v>
      </c>
      <c r="I191" s="18" t="str">
        <f>'2025'!I44</f>
        <v>Chargers @ Giants</v>
      </c>
      <c r="J191" s="18" t="str">
        <f>'2025'!J44</f>
        <v>Bengals @ Broncos</v>
      </c>
      <c r="K191" s="18" t="str">
        <f>'2025'!K44</f>
        <v>Colts @ Rams</v>
      </c>
      <c r="L191" s="18" t="str">
        <f>'2025'!L44</f>
        <v>Packers @ Cowboys</v>
      </c>
      <c r="M191" s="2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 ht="16.5" customHeight="1">
      <c r="A192" s="3" t="s">
        <v>48</v>
      </c>
      <c r="B192" s="2"/>
      <c r="C192" s="18" t="str">
        <f>'2025'!C45</f>
        <v>21-24</v>
      </c>
      <c r="D192" s="18" t="str">
        <f>'2025'!D45</f>
        <v>19-31</v>
      </c>
      <c r="E192" s="18" t="str">
        <f>'2025'!E45</f>
        <v>27-34</v>
      </c>
      <c r="F192" s="18" t="str">
        <f>'2025'!F45</f>
        <v>20-37</v>
      </c>
      <c r="G192" s="18" t="str">
        <f>'2025'!G45</f>
        <v>97 Rush+Rec. Yards</v>
      </c>
      <c r="H192" s="18" t="str">
        <f>'2025'!H45</f>
        <v>31-25</v>
      </c>
      <c r="I192" s="18" t="str">
        <f>'2025'!I45</f>
        <v>18-21</v>
      </c>
      <c r="J192" s="18" t="str">
        <f>'2025'!J45</f>
        <v>1 Pass TD</v>
      </c>
      <c r="K192" s="18" t="str">
        <f>'2025'!K45</f>
        <v>5 Recs</v>
      </c>
      <c r="L192" s="18" t="str">
        <f>'2025'!L45</f>
        <v>10 TDs</v>
      </c>
      <c r="M192" s="2"/>
      <c r="N192" s="4"/>
      <c r="O192" s="3" t="s">
        <v>56</v>
      </c>
      <c r="P192" s="3" t="s">
        <v>57</v>
      </c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ht="16.5" customHeight="1">
      <c r="A193" s="3" t="s">
        <v>59</v>
      </c>
      <c r="B193" s="2"/>
      <c r="C193" s="18" t="str">
        <f>'2025'!C46</f>
        <v>L</v>
      </c>
      <c r="D193" s="18" t="str">
        <f>'2025'!D46</f>
        <v>W</v>
      </c>
      <c r="E193" s="18" t="str">
        <f>'2025'!E46</f>
        <v>L</v>
      </c>
      <c r="F193" s="18" t="str">
        <f>'2025'!F46</f>
        <v>L</v>
      </c>
      <c r="G193" s="18" t="str">
        <f>'2025'!G46</f>
        <v>W</v>
      </c>
      <c r="H193" s="18" t="str">
        <f>'2025'!H46</f>
        <v>W</v>
      </c>
      <c r="I193" s="18" t="str">
        <f>'2025'!I46</f>
        <v>L</v>
      </c>
      <c r="J193" s="18" t="str">
        <f>'2025'!J46</f>
        <v>L</v>
      </c>
      <c r="K193" s="18" t="str">
        <f>'2025'!K46</f>
        <v>W</v>
      </c>
      <c r="L193" s="18" t="str">
        <f>'2025'!L46</f>
        <v>W</v>
      </c>
      <c r="M193" s="2"/>
      <c r="N193" s="3" t="s">
        <v>65</v>
      </c>
      <c r="O193" s="12" t="str">
        <f>IFERROR(__xludf.DUMMYFUNCTION("IF(OR(COUNTA(C190:L190) = 0, COUNTA(C193:L193) = 0), """", IFERROR(TEXTJOIN("", "", TRUE, FILTER(C187:L187, (C193:L193 = ""W"") * (C190:L190 = MAX(FILTER(C190:L190, C193:L193 = ""W""))))), """"))"),"Taylon, Trey")</f>
        <v>Taylon, Trey</v>
      </c>
      <c r="P193" s="12" t="str">
        <f>IFERROR(__xludf.DUMMYFUNCTION("IF(COUNTA(C198:L198) = 0, """", IFERROR(TEXTJOIN("", "", TRUE, FILTER(C187:L187, C198:L198 = MAX(C198:L198))), """"))"),"Carson")</f>
        <v>Carson</v>
      </c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ht="16.5" customHeight="1">
      <c r="A194" s="1" t="s">
        <v>81</v>
      </c>
      <c r="B194" s="2"/>
      <c r="C194" s="4">
        <f t="shared" ref="C194:L194" si="57">IF(OR(C190="",C193=""),"",C181+COUNTIF(C193,"W"))</f>
        <v>9</v>
      </c>
      <c r="D194" s="4">
        <f t="shared" si="57"/>
        <v>13</v>
      </c>
      <c r="E194" s="4">
        <f t="shared" si="57"/>
        <v>7</v>
      </c>
      <c r="F194" s="4">
        <f t="shared" si="57"/>
        <v>10</v>
      </c>
      <c r="G194" s="4">
        <f t="shared" si="57"/>
        <v>7</v>
      </c>
      <c r="H194" s="4">
        <f t="shared" si="57"/>
        <v>8</v>
      </c>
      <c r="I194" s="4">
        <f t="shared" si="57"/>
        <v>5</v>
      </c>
      <c r="J194" s="4">
        <f t="shared" si="57"/>
        <v>9</v>
      </c>
      <c r="K194" s="4">
        <f t="shared" si="57"/>
        <v>6</v>
      </c>
      <c r="L194" s="4">
        <f t="shared" si="57"/>
        <v>9</v>
      </c>
      <c r="M194" s="2"/>
      <c r="N194" s="3" t="s">
        <v>82</v>
      </c>
      <c r="O194" s="4" t="str">
        <f>IFERROR(__xludf.DUMMYFUNCTION("IF(OR(COUNTA(C190:L190) = 0, COUNTA(C193:L193) = 0), """", IFERROR(TEXTJOIN("", "", TRUE, FILTER(C187:L187, (C193:L193 = ""L"") * (C190:L190 = MIN(FILTER(C190:L190, C193:L193 = ""L""))))), """"))"),"Clayton")</f>
        <v>Clayton</v>
      </c>
      <c r="P194" s="12" t="str">
        <f>IFERROR(__xludf.DUMMYFUNCTION("IF(COUNTA(C198:L198) = 0, """", IFERROR(TEXTJOIN("", "", TRUE, FILTER(C187:L187, C198:L198 = MIN(C198:L198))), """"))"),"Nick")</f>
        <v>Nick</v>
      </c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 ht="16.5" customHeight="1">
      <c r="A195" s="1" t="s">
        <v>83</v>
      </c>
      <c r="B195" s="2"/>
      <c r="C195" s="27">
        <f t="shared" ref="C195:L195" si="58">IF(OR(C190="",C193=""),"",C182+COUNTIF(C193,"L"))</f>
        <v>6</v>
      </c>
      <c r="D195" s="27">
        <f t="shared" si="58"/>
        <v>2</v>
      </c>
      <c r="E195" s="27">
        <f t="shared" si="58"/>
        <v>8</v>
      </c>
      <c r="F195" s="27">
        <f t="shared" si="58"/>
        <v>5</v>
      </c>
      <c r="G195" s="27">
        <f t="shared" si="58"/>
        <v>8</v>
      </c>
      <c r="H195" s="27">
        <f t="shared" si="58"/>
        <v>7</v>
      </c>
      <c r="I195" s="27">
        <f t="shared" si="58"/>
        <v>10</v>
      </c>
      <c r="J195" s="27">
        <f t="shared" si="58"/>
        <v>6</v>
      </c>
      <c r="K195" s="27">
        <f t="shared" si="58"/>
        <v>9</v>
      </c>
      <c r="L195" s="27">
        <f t="shared" si="58"/>
        <v>6</v>
      </c>
      <c r="M195" s="2"/>
      <c r="N195" s="3" t="s">
        <v>84</v>
      </c>
      <c r="O195" s="12" t="str">
        <f>IFERROR(__xludf.DUMMYFUNCTION("IF(COUNTA(C190:L190) = 0, """", IFERROR(TEXTJOIN("", "", TRUE, FILTER(C187:L187, C190:L190 = MAX(C190:L190))), """"))"),"Taylon, Trey")</f>
        <v>Taylon, Trey</v>
      </c>
      <c r="P195" s="4" t="str">
        <f>IFERROR(__xludf.DUMMYFUNCTION("IF(COUNTA(C190:L190) = 0, """", IFERROR(TEXTJOIN("", "", TRUE, FILTER(C187:L187, C197:L197 = MAX(C197:L197))), """"))"),"Hunter")</f>
        <v>Hunter</v>
      </c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 ht="16.5" customHeight="1">
      <c r="A196" s="3" t="s">
        <v>85</v>
      </c>
      <c r="B196" s="2"/>
      <c r="C196" s="24">
        <f t="shared" ref="C196:L196" si="59">IF(OR(C190="",C193=""),"",(C194/(C194+C195)))</f>
        <v>0.6</v>
      </c>
      <c r="D196" s="24">
        <f t="shared" si="59"/>
        <v>0.8666666667</v>
      </c>
      <c r="E196" s="24">
        <f t="shared" si="59"/>
        <v>0.4666666667</v>
      </c>
      <c r="F196" s="24">
        <f t="shared" si="59"/>
        <v>0.6666666667</v>
      </c>
      <c r="G196" s="24">
        <f t="shared" si="59"/>
        <v>0.4666666667</v>
      </c>
      <c r="H196" s="24">
        <f t="shared" si="59"/>
        <v>0.5333333333</v>
      </c>
      <c r="I196" s="24">
        <f t="shared" si="59"/>
        <v>0.3333333333</v>
      </c>
      <c r="J196" s="24">
        <f t="shared" si="59"/>
        <v>0.6</v>
      </c>
      <c r="K196" s="24">
        <f t="shared" si="59"/>
        <v>0.4</v>
      </c>
      <c r="L196" s="24">
        <f t="shared" si="59"/>
        <v>0.6</v>
      </c>
      <c r="M196" s="14"/>
      <c r="N196" s="3" t="s">
        <v>86</v>
      </c>
      <c r="O196" s="4" t="str">
        <f>IFERROR(__xludf.DUMMYFUNCTION("IF(COUNTA(C190:L190) = 0, """", IFERROR(TEXTJOIN("", "", TRUE, FILTER(C187:L187, C190:L190 = MIN(C190:L190))), """"))"),"Clayton")</f>
        <v>Clayton</v>
      </c>
      <c r="P196" s="4" t="str">
        <f>IFERROR(__xludf.DUMMYFUNCTION("IF(COUNTA(C190:L190) = 0, """", IFERROR(TEXTJOIN("", "", TRUE, FILTER(C187:L187, C197:L197 = MIN(C197:L197))), """"))"),"Carson")</f>
        <v>Carson</v>
      </c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 ht="16.5" customHeight="1">
      <c r="A197" s="3" t="s">
        <v>87</v>
      </c>
      <c r="B197" s="2"/>
      <c r="C197" s="25">
        <f t="shared" ref="C197:L197" si="60">IF(C190="","",IF(((IF(C190 &lt;0,((-100/C190)+1),((C190/100)+1))+(IF(C184&lt;0,((-100/C184)+1),((C184/100)+1)))*(C181+C182))/(C181+C182+1))&lt;2,(-100/(((IF(C190 &lt;0,((-100/C190)+1),((C190/100)+1))+(IF(C184&lt;0,((-100/C184)+1),((C184/100)+1)))*(C181+C182))/(C181+C182+1))-1)),(((IF(C190 &lt;0,((-100/C190)+1),((C190/100)+1))+(IF(C184&lt;0,((-100/C184)+1),((C184/100)+1)))*(C181+C182))/(C181+C182+1))-1)*100))</f>
        <v>-121.4621288</v>
      </c>
      <c r="D197" s="25">
        <f t="shared" si="60"/>
        <v>-139.0159262</v>
      </c>
      <c r="E197" s="25">
        <f t="shared" si="60"/>
        <v>-113.6940547</v>
      </c>
      <c r="F197" s="25">
        <f t="shared" si="60"/>
        <v>-123.9989527</v>
      </c>
      <c r="G197" s="25">
        <f t="shared" si="60"/>
        <v>102.6087382</v>
      </c>
      <c r="H197" s="25">
        <f t="shared" si="60"/>
        <v>102.5357299</v>
      </c>
      <c r="I197" s="25">
        <f t="shared" si="60"/>
        <v>-121.1927027</v>
      </c>
      <c r="J197" s="25">
        <f t="shared" si="60"/>
        <v>-116.0111861</v>
      </c>
      <c r="K197" s="25">
        <f t="shared" si="60"/>
        <v>-116.2409208</v>
      </c>
      <c r="L197" s="25">
        <f t="shared" si="60"/>
        <v>-106.6591056</v>
      </c>
      <c r="M197" s="14"/>
      <c r="N197" s="4"/>
      <c r="O197" s="12"/>
      <c r="P197" s="12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 ht="16.5" customHeight="1">
      <c r="A198" s="16" t="s">
        <v>88</v>
      </c>
      <c r="B198" s="2"/>
      <c r="C198" s="26">
        <f>IFERROR(__xludf.DUMMYFUNCTION("IF(OR(C190="""",C193=""""),"""",IF(REGEXMATCH(C193,""W""),IF(C190&lt;0,((-100/C190))*10+C185,((C190/100)*10+C185)),-10+C185))"),11.165241536765542)</f>
        <v>11.16524154</v>
      </c>
      <c r="D198" s="26">
        <f>IFERROR(__xludf.DUMMYFUNCTION("IF(OR(D190="""",D193=""""),"""",IF(REGEXMATCH(D193,""W""),IF(D190&lt;0,((-100/D190))*10+D185,((D190/100)*10+D185)),-10+D185))"),70.49389867673857)</f>
        <v>70.49389868</v>
      </c>
      <c r="E198" s="26">
        <f>IFERROR(__xludf.DUMMYFUNCTION("IF(OR(E190="""",E193=""""),"""",IF(REGEXMATCH(E193,""W""),IF(E190&lt;0,((-100/E190))*10+E185,((E190/100)*10+E185)),-10+E185))"),-14.745122865110076)</f>
        <v>-14.74512287</v>
      </c>
      <c r="F198" s="26">
        <f>IFERROR(__xludf.DUMMYFUNCTION("IF(OR(F190="""",F193=""""),"""",IF(REGEXMATCH(F193,""W""),IF(F190&lt;0,((-100/F190))*10+F185,((F190/100)*10+F185)),-10+F185))"),27.17352554710719)</f>
        <v>27.17352555</v>
      </c>
      <c r="G198" s="26">
        <f>IFERROR(__xludf.DUMMYFUNCTION("IF(OR(G190="""",G193=""""),"""",IF(REGEXMATCH(G193,""W""),IF(G190&lt;0,((-100/G190))*10+G185,((G190/100)*10+G185)),-10+G185))"),-20.3274012167524)</f>
        <v>-20.32740122</v>
      </c>
      <c r="H198" s="26">
        <f>IFERROR(__xludf.DUMMYFUNCTION("IF(OR(H190="""",H193=""""),"""",IF(REGEXMATCH(H193,""W""),IF(H190&lt;0,((-100/H190))*10+H185,((H190/100)*10+H185)),-10+H185))"),4.730334829880453)</f>
        <v>4.73033483</v>
      </c>
      <c r="I198" s="26">
        <f>IFERROR(__xludf.DUMMYFUNCTION("IF(OR(I190="""",I193=""""),"""",IF(REGEXMATCH(I193,""W""),IF(I190&lt;0,((-100/I190))*10+I185,((I190/100)*10+I185)),-10+I185))"),-68.76474079197914)</f>
        <v>-68.76474079</v>
      </c>
      <c r="J198" s="26">
        <f>IFERROR(__xludf.DUMMYFUNCTION("IF(OR(J190="""",J193=""""),"""",IF(REGEXMATCH(J193,""W""),IF(J190&lt;0,((-100/J190))*10+J185,((J190/100)*10+J185)),-10+J185))"),15.762907128150097)</f>
        <v>15.76290713</v>
      </c>
      <c r="K198" s="26">
        <f>IFERROR(__xludf.DUMMYFUNCTION("IF(OR(K190="""",K193=""""),"""",IF(REGEXMATCH(K193,""W""),IF(K190&lt;0,((-100/K190))*10+K185,((K190/100)*10+K185)),-10+K185))"),-37.65443172318388)</f>
        <v>-37.65443172</v>
      </c>
      <c r="L198" s="26">
        <f>IFERROR(__xludf.DUMMYFUNCTION("IF(OR(L190="""",L193=""""),"""",IF(REGEXMATCH(L193,""W""),IF(L190&lt;0,((-100/L190))*10+L185,((L190/100)*10+L185)),-10+L185))"),27.670542561112327)</f>
        <v>27.67054256</v>
      </c>
      <c r="M198" s="14"/>
      <c r="N198" s="16" t="s">
        <v>89</v>
      </c>
      <c r="O198" s="10">
        <f>IFERROR(__xludf.DUMMYFUNCTION("IF(AND(C198="""",AND(D198="""",AND(E198="""",AND(F198="""",AND(G198="""",AND(H198="""",AND(I198="""",AND(J198="""",AND(K198="""",L198=""""))))))))),"""",(IF(C193="""",0,IF(REGEXMATCH(C193,""W""),IF(C190&lt;0,((-100/C190))*10,((C190/100)*10)),-10))+IF(D193="""&amp;""",0,IF(REGEXMATCH(D193,""W""),IF(D190&lt;0,((-100/D190))*10,((D190/100)*10)),-10))+IF(E193="""",0,IF(REGEXMATCH(E193,""W""),IF(E190&lt;0,((-100/E190))*10,((E190/100)*10)),-10))+IF(F193="""",0,IF(REGEXMATCH(F193,""W""),IF(F190&lt;0,((-100/F190))*10,((F190/100)*10)"&amp;"),-10))+IF(G193="""",0,IF(REGEXMATCH(G193,""W""),IF(G190&lt;0,((-100/G190))*10,((G190/100)*10)),-10))+IF(H193="""",0,IF(REGEXMATCH(H193,""W""),IF(H190&lt;0,((-100/H190))*10,((H190/100)*10)),-10))+IF(I193="""",0,IF(REGEXMATCH(I193,""W""),IF(I190&lt;0,((-100/I190))*"&amp;"10,((I190/100)*10)),-10))+IF(J193="""",0,IF(REGEXMATCH(J193,""W""),IF(J190&lt;0,((-100/J190))*10,((J190/100)*10)),-10))+IF(K193="""",0,IF(REGEXMATCH(K193,""W""),IF(K190&lt;0,((-100/K190))*10,((K190/100)*10)),-10))+IF(L193="""",0,IF(REGEXMATCH(L193,""W""),IF(L19"&amp;"0&lt;0,((-100/L190))*10,((L190/100)*10)),-10))))"),-1.9757595345830623)</f>
        <v>-1.975759535</v>
      </c>
      <c r="P198" s="10">
        <f>IFERROR(__xludf.DUMMYFUNCTION("IF(AND(C198="""",AND(D198="""",AND(E198="""",AND(F198="""",AND(G198="""",AND(H198="""",AND(I198="""",AND(J198="""",AND(K198="""",L198=""""))))))))),"""",(P185+IF(C193="""",0,IF(REGEXMATCH(C193,""W""),IF(C190&lt;0,((-100/C190))*10,((C190/100)*10)),-10))+IF(D1"&amp;"93="""",0,IF(REGEXMATCH(D193,""W""),IF(D190&lt;0,((-100/D190))*10,((D190/100)*10)),-10))+IF(E193="""",0,IF(REGEXMATCH(E193,""W""),IF(E190&lt;0,((-100/E190))*10,((E190/100)*10)),-10))+IF(F193="""",0,IF(REGEXMATCH(F193,""W""),IF(F190&lt;0,((-100/F190))*10,((F190/100"&amp;")*10)),-10))+IF(G193="""",0,IF(REGEXMATCH(G193,""W""),IF(G190&lt;0,((-100/G190))*10,((G190/100)*10)),-10))+IF(H193="""",0,IF(REGEXMATCH(H193,""W""),IF(H190&lt;0,((-100/H190))*10,((H190/100)*10)),-10))+IF(I193="""",0,IF(REGEXMATCH(I193,""W""),IF(I190&lt;0,((-100/I1"&amp;"90))*10,((I190/100)*10)),-10))+IF(J193="""",0,IF(REGEXMATCH(J193,""W""),IF(J190&lt;0,((-100/J190))*10,((J190/100)*10)),-10))+IF(K193="""",0,IF(REGEXMATCH(K193,""W""),IF(K190&lt;0,((-100/K190))*10,((K190/100)*10)),-10))+IF(L193="""",0,IF(REGEXMATCH(L193,""W""),I"&amp;"F(L190&lt;0,((-100/L190))*10,((L190/100)*10)),-10))))"),15.504753682728616)</f>
        <v>15.50475368</v>
      </c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 ht="16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 ht="16.5" customHeight="1">
      <c r="A200" s="1" t="s">
        <v>246</v>
      </c>
      <c r="B200" s="2"/>
      <c r="C200" s="3" t="s">
        <v>1</v>
      </c>
      <c r="D200" s="3" t="s">
        <v>2</v>
      </c>
      <c r="E200" s="3" t="s">
        <v>3</v>
      </c>
      <c r="F200" s="3" t="s">
        <v>4</v>
      </c>
      <c r="G200" s="3" t="s">
        <v>5</v>
      </c>
      <c r="H200" s="3" t="s">
        <v>6</v>
      </c>
      <c r="I200" s="3" t="s">
        <v>7</v>
      </c>
      <c r="J200" s="3" t="s">
        <v>8</v>
      </c>
      <c r="K200" s="3" t="s">
        <v>9</v>
      </c>
      <c r="L200" s="3" t="s">
        <v>10</v>
      </c>
      <c r="M200" s="2"/>
      <c r="N200" s="4"/>
      <c r="O200" s="3" t="s">
        <v>11</v>
      </c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 ht="16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 ht="16.5" customHeight="1">
      <c r="A202" s="3" t="s">
        <v>12</v>
      </c>
      <c r="B202" s="2"/>
      <c r="C202" s="12" t="str">
        <f>'2025'!C55</f>
        <v>K. Miller Over 34.5 Rush Yards</v>
      </c>
      <c r="D202" s="12" t="str">
        <f>'2025'!D55</f>
        <v>Ravens +3.5</v>
      </c>
      <c r="E202" s="12" t="str">
        <f>'2025'!E55</f>
        <v>Buccaneers Over 19.5 Points</v>
      </c>
      <c r="F202" s="12" t="str">
        <f>'2025'!F55</f>
        <v>Chargers Moneyline</v>
      </c>
      <c r="G202" s="12" t="str">
        <f>'2025'!G55</f>
        <v>Over 5.5 Total Touchdowns</v>
      </c>
      <c r="H202" s="12" t="str">
        <f>'2025'!H55</f>
        <v>Broncos Moneyline</v>
      </c>
      <c r="I202" s="12" t="str">
        <f>'2025'!I55</f>
        <v>Vikings Moneyline</v>
      </c>
      <c r="J202" s="12" t="str">
        <f>'2025'!J55</f>
        <v>Dolphins Moneyline</v>
      </c>
      <c r="K202" s="12" t="str">
        <f>'2025'!K55</f>
        <v>Lions -8.5</v>
      </c>
      <c r="L202" s="12" t="str">
        <f>'2025'!L55</f>
        <v>Cowboys -2.5</v>
      </c>
      <c r="M202" s="2"/>
      <c r="N202" s="3" t="s">
        <v>13</v>
      </c>
      <c r="O202" s="7">
        <f>IF(AND(C203="",AND(D203="",AND(E203="",AND(F203="",AND(G203="",AND(H203="",AND(I203="",AND(J203="",AND(K203="",L203=""))))))))),"",IF(((IF(C203="",1,IF(C203&gt;0,(C203/100)+1,(100/((-1)*C203))+1)))*(IF(D203="",1,IF(D203&gt;0,(D203/100)+1,(100/((-1)*D203))+1)))*(IF(E203="",1,IF(E203&gt;0,(E203/100)+1,(100/((-1)*E203))+1)))*(IF(F203="",1,IF(F203&gt;0,(F203/100)+1,(100/((-1)*F203))+1)))*(IF(G203="",1,IF(G203&gt;0,(G203/100)+1,(100/((-1)*G203))+1)))*(IF(H203="",1,IF(H203&gt;0,(H203/100)+1,(100/((-1)*H203))+1)))*(IF(I203="",1,IF(I203&gt;0,(I203/100)+1,(100/((-1)*I203))+1)))*(IF(J203="",1,IF(J203&gt;0,(J203/100)+1,(100/((-1)*J203))+1)))*(IF(K203="",1,IF(K203&gt;0,(K203/100)+1,(100/((-1)*K203))+1)))*(IF(L203="",1,IF(L203&gt;0,(L203/100)+1,(100/((-1)*L203))+1))))&lt;2,((-100)/(((IF(C203="",1,IF(C203&gt;0,(C203/100)+1,(100/((-1)*C203))+1)))*(IF(D203="",1,IF(D203&gt;0,(D203/100)+1,(100/((-1)*D203))+1)))*(IF(E203="",1,IF(E203&gt;0,(E203/100)+1,(100/((-1)*E203))+1)))*(IF(F203="",1,IF(F203&gt;0,(F203/100)+1,(100/((-1)*F203))+1)))*(IF(G203="",1,IF(G203&gt;0,(G203/100)+1,(100/((-1)*G203))+1)))*(IF(H203="",1,IF(H203&gt;0,(H203/100)+1,(100/((-1)*H203))+1)))*(IF(I203="",1,IF(I203&gt;0,(I203/100)+1,(100/((-1)*I203))+1)))*(IF(J203="",1,IF(J203&gt;0,(J203/100)+1,(100/((-1)*J203))+1)))*(IF(K203="",1,IF(K203&gt;0,(K203/100)+1,(100/((-1)*K203))+1)))*(IF(L203="",1,IF(L203&gt;0,(L203/100)+1,(100/((-1)*L203))+1))))-1)),((((IF(C203="",1,IF(C203&gt;0,(C203/100)+1,(100/((-1)*C203))+1)))*(IF(D203="",1,IF(D203&gt;0,(D203/100)+1,(100/((-1)*D203))+1)))*(IF(E203="",1,IF(E203&gt;0,(E203/100)+1,(100/((-1)*E203))+1)))*(IF(F203="",1,IF(F203&gt;0,(F203/100)+1,(100/((-1)*F203))+1)))*(IF(G203="",1,IF(G203&gt;0,(G203/100)+1,(100/((-1)*G203))+1)))*(IF(H203="",1,IF(H203&gt;0,(H203/100)+1,(100/((-1)*H203))+1)))*(IF(I203="",1,IF(I203&gt;0,(I203/100)+1,(100/((-1)*I203))+1)))*(IF(J203="",1,IF(J203&gt;0,(J203/100)+1,(100/((-1)*J203))+1)))*(IF(K203="",1,IF(K203&gt;0,(K203/100)+1,(100/((-1)*K203))+1)))*(IF(L203="",1,IF(L203&gt;0,(L203/100)+1,(100/((-1)*L203))+1))))-1)*(100))))</f>
        <v>46444.86563</v>
      </c>
      <c r="P202" s="4"/>
      <c r="Q202" s="8" t="s">
        <v>35</v>
      </c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 ht="16.5" customHeight="1">
      <c r="A203" s="3" t="s">
        <v>13</v>
      </c>
      <c r="B203" s="2"/>
      <c r="C203" s="18">
        <f>'2025'!C56</f>
        <v>-112</v>
      </c>
      <c r="D203" s="18">
        <f>'2025'!D56</f>
        <v>-159</v>
      </c>
      <c r="E203" s="18">
        <f>'2025'!E56</f>
        <v>-135</v>
      </c>
      <c r="F203" s="18">
        <f>'2025'!F56</f>
        <v>-159</v>
      </c>
      <c r="G203" s="18">
        <f>'2025'!G56</f>
        <v>100</v>
      </c>
      <c r="H203" s="18">
        <f>'2025'!H56</f>
        <v>190</v>
      </c>
      <c r="I203" s="18">
        <f>'2025'!I56</f>
        <v>-200</v>
      </c>
      <c r="J203" s="18">
        <f>'2025'!J56</f>
        <v>-120</v>
      </c>
      <c r="K203" s="18">
        <f>'2025'!K56</f>
        <v>-135</v>
      </c>
      <c r="L203" s="18">
        <f>'2025'!L56</f>
        <v>-109</v>
      </c>
      <c r="M203" s="2">
        <v>5.0</v>
      </c>
      <c r="N203" s="3" t="s">
        <v>36</v>
      </c>
      <c r="O203" s="10">
        <f>IF(AND(C203="",AND(D203="",AND(E203="",AND(F203="",AND(G203="",AND(H203="",AND(I203="",AND(J203="",AND(K203="",L203=""))))))))),"",10+IF((IF(((IF(C203="",1,IF(C203&gt;0,(C203/100)+1,(100/((-1)*C203))+1)))*(IF(D203="",1,IF(D203&gt;0,(D203/100)+1,(100/((-1)*D203))+1)))*(IF(E203="",1,IF(E203&gt;0,(E203/100)+1,(100/((-1)*E203))+1)))*(IF(F203="",1,IF(F203&gt;0,(F203/100)+1,(100/((-1)*F203))+1)))*(IF(G203="",1,IF(G203&gt;0,(G203/100)+1,(100/((-1)*G203))+1)))*(IF(H203="",1,IF(H203&gt;0,(H203/100)+1,(100/((-1)*H203))+1)))*(IF(I203="",1,IF(I203&gt;0,(I203/100)+1,(100/((-1)*I203))+1)))*(IF(J203="",1,IF(J203&gt;0,(J203/100)+1,(100/((-1)*J203))+1)))*(IF(K203="",1,IF(K203&gt;0,(K203/100)+1,(100/((-1)*K203))+1)))*(IF(L203="",1,IF(L203&gt;0,(L203/100)+1,(100/((-1)*L203))+1))))&lt;2,((-100)/(((IF(C203="",1,IF(C203&gt;0,(C203/100)+1,(100/((-1)*C203))+1)))*(IF(D203="",1,IF(D203&gt;0,(D203/100)+1,(100/((-1)*D203))+1)))*(IF(E203="",1,IF(E203&gt;0,(E203/100)+1,(100/((-1)*E203))+1)))*(IF(F203="",1,IF(F203&gt;0,(F203/100)+1,(100/((-1)*F203))+1)))*(IF(G203="",1,IF(G203&gt;0,(G203/100)+1,(100/((-1)*G203))+1)))*(IF(H203="",1,IF(H203&gt;0,(H203/100)+1,(100/((-1)*H203))+1)))*(IF(I203="",1,IF(I203&gt;0,(I203/100)+1,(100/((-1)*I203))+1)))*(IF(J203="",1,IF(J203&gt;0,(J203/100)+1,(100/((-1)*J203))+1)))*(IF(K203="",1,IF(K203&gt;0,(K203/100)+1,(100/((-1)*K203))+1)))*(IF(L203="",1,IF(L203&gt;0,(L203/100)+1,(100/((-1)*L203))+1))))-1)),((((IF(C203="",1,IF(C203&gt;0,(C203/100)+1,(100/((-1)*C203))+1)))*(IF(D203="",1,IF(D203&gt;0,(D203/100)+1,(100/((-1)*D203))+1)))*(IF(E203="",1,IF(E203&gt;0,(E203/100)+1,(100/((-1)*E203))+1)))*(IF(F203="",1,IF(F203&gt;0,(F203/100)+1,(100/((-1)*F203))+1)))*(IF(G203="",1,IF(G203&gt;0,(G203/100)+1,(100/((-1)*G203))+1)))*(IF(H203="",1,IF(H203&gt;0,(H203/100)+1,(100/((-1)*H203))+1)))*(IF(I203="",1,IF(I203&gt;0,(I203/100)+1,(100/((-1)*I203))+1)))*(IF(J203="",1,IF(J203&gt;0,(J203/100)+1,(100/((-1)*J203))+1)))*(IF(K203="",1,IF(K203&gt;0,(K203/100)+1,(100/((-1)*K203))+1)))*(IF(L203="",1,IF(L203&gt;0,(L203/100)+1,(100/((-1)*L203))+1))))-1)*(100))))&lt;0,(((-100)/((IF(((IF(C203="",1,IF(C203&gt;0,(C203/100)+1,(100/((-1)*C203))+1)))*(IF(D203="",1,IF(D203&gt;0,(D203/100)+1,(100/((-1)*D203))+1)))*(IF(E203="",1,IF(E203&gt;0,(E203/100)+1,(100/((-1)*E203))+1)))*(IF(F203="",1,IF(F203&gt;0,(F203/100)+1,(100/((-1)*F203))+1)))*(IF(G203="",1,IF(G203&gt;0,(G203/100)+1,(100/((-1)*G203))+1)))*(IF(H203="",1,IF(H203&gt;0,(H203/100)+1,(100/((-1)*H203))+1)))*(IF(I203="",1,IF(I203&gt;0,(I203/100)+1,(100/((-1)*I203))+1)))*(IF(J203="",1,IF(J203&gt;0,(J203/100)+1,(100/((-1)*J203))+1)))*(IF(K203="",1,IF(K203&gt;0,(K203/100)+1,(100/((-1)*K203))+1)))*(IF(L203="",1,IF(L203&gt;0,(L203/100)+1,(100/((-1)*L203))+1))))&lt;2,((-100)/(((IF(C203="",1,IF(C203&gt;0,(C203/100)+1,(100/((-1)*C203))+1)))*(IF(D203="",1,IF(D203&gt;0,(D203/100)+1,(100/((-1)*D203))+1)))*(IF(E203="",1,IF(E203&gt;0,(E203/100)+1,(100/((-1)*E203))+1)))*(IF(F203="",1,IF(F203&gt;0,(F203/100)+1,(100/((-1)*F203))+1)))*(IF(G203="",1,IF(G203&gt;0,(G203/100)+1,(100/((-1)*G203))+1)))*(IF(H203="",1,IF(H203&gt;0,(H203/100)+1,(100/((-1)*H203))+1)))*(IF(I203="",1,IF(I203&gt;0,(I203/100)+1,(100/((-1)*I203))+1)))*(IF(J203="",1,IF(J203&gt;0,(J203/100)+1,(100/((-1)*J203))+1)))*(IF(K203="",1,IF(K203&gt;0,(K203/100)+1,(100/((-1)*K203))+1)))*(IF(L203="",1,IF(L203&gt;0,(L203/100)+1,(100/((-1)*L203))+1))))-1)),((((IF(C203="",1,IF(C203&gt;0,(C203/100)+1,(100/((-1)*C203))+1)))*(IF(D203="",1,IF(D203&gt;0,(D203/100)+1,(100/((-1)*D203))+1)))*(IF(E203="",1,IF(E203&gt;0,(E203/100)+1,(100/((-1)*E203))+1)))*(IF(F203="",1,IF(F203&gt;0,(F203/100)+1,(100/((-1)*F203))+1)))*(IF(G203="",1,IF(G203&gt;0,(G203/100)+1,(100/((-1)*G203))+1)))*(IF(H203="",1,IF(H203&gt;0,(H203/100)+1,(100/((-1)*H203))+1)))*(IF(I203="",1,IF(I203&gt;0,(I203/100)+1,(100/((-1)*I203))+1)))*(IF(J203="",1,IF(J203&gt;0,(J203/100)+1,(100/((-1)*J203))+1)))*(IF(K203="",1,IF(K203&gt;0,(K203/100)+1,(100/((-1)*K203))+1)))*(IF(L203="",1,IF(L203&gt;0,(L203/100)+1,(100/((-1)*L203))+1))))-1)*(100))))))*10),(((IF(((IF(C203="",1,IF(C203&gt;0,(C203/100)+1,(100/((-1)*C203))+1)))*(IF(D203="",1,IF(D203&gt;0,(D203/100)+1,(100/((-1)*D203))+1)))*(IF(E203="",1,IF(E203&gt;0,(E203/100)+1,(100/((-1)*E203))+1)))*(IF(F203="",1,IF(F203&gt;0,(F203/100)+1,(100/((-1)*F203))+1)))*(IF(G203="",1,IF(G203&gt;0,(G203/100)+1,(100/((-1)*G203))+1)))*(IF(H203="",1,IF(H203&gt;0,(H203/100)+1,(100/((-1)*H203))+1)))*(IF(I203="",1,IF(I203&gt;0,(I203/100)+1,(100/((-1)*I203))+1)))*(IF(J203="",1,IF(J203&gt;0,(J203/100)+1,(100/((-1)*J203))+1)))*(IF(K203="",1,IF(K203&gt;0,(K203/100)+1,(100/((-1)*K203))+1)))*(IF(L203="",1,IF(L203&gt;0,(L203/100)+1,(100/((-1)*L203))+1))))&lt;2,((-100)/(((IF(C203="",1,IF(C203&gt;0,(C203/100)+1,(100/((-1)*C203))+1)))*(IF(D203="",1,IF(D203&gt;0,(D203/100)+1,(100/((-1)*D203))+1)))*(IF(E203="",1,IF(E203&gt;0,(E203/100)+1,(100/((-1)*E203))+1)))*(IF(F203="",1,IF(F203&gt;0,(F203/100)+1,(100/((-1)*F203))+1)))*(IF(G203="",1,IF(G203&gt;0,(G203/100)+1,(100/((-1)*G203))+1)))*(IF(H203="",1,IF(H203&gt;0,(H203/100)+1,(100/((-1)*H203))+1)))*(IF(I203="",1,IF(I203&gt;0,(I203/100)+1,(100/((-1)*I203))+1)))*(IF(J203="",1,IF(J203&gt;0,(J203/100)+1,(100/((-1)*J203))+1)))*(IF(K203="",1,IF(K203&gt;0,(K203/100)+1,(100/((-1)*K203))+1)))*(IF(L203="",1,IF(L203&gt;0,(L203/100)+1,(100/((-1)*L203))+1))))-1)),((((IF(C203="",1,IF(C203&gt;0,(C203/100)+1,(100/((-1)*C203))+1)))*(IF(D203="",1,IF(D203&gt;0,(D203/100)+1,(100/((-1)*D203))+1)))*(IF(E203="",1,IF(E203&gt;0,(E203/100)+1,(100/((-1)*E203))+1)))*(IF(F203="",1,IF(F203&gt;0,(F203/100)+1,(100/((-1)*F203))+1)))*(IF(G203="",1,IF(G203&gt;0,(G203/100)+1,(100/((-1)*G203))+1)))*(IF(H203="",1,IF(H203&gt;0,(H203/100)+1,(100/((-1)*H203))+1)))*(IF(I203="",1,IF(I203&gt;0,(I203/100)+1,(100/((-1)*I203))+1)))*(IF(J203="",1,IF(J203&gt;0,(J203/100)+1,(100/((-1)*J203))+1)))*(IF(K203="",1,IF(K203&gt;0,(K203/100)+1,(100/((-1)*K203))+1)))*(IF(L203="",1,IF(L203&gt;0,(L203/100)+1,(100/((-1)*L203))+1))))-1)*(100))))/100)*10)))</f>
        <v>4654.486563</v>
      </c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 ht="16.5" customHeight="1">
      <c r="A204" s="3" t="s">
        <v>37</v>
      </c>
      <c r="B204" s="2"/>
      <c r="C204" s="18" t="str">
        <f>'2025'!C57</f>
        <v>Giants @ Saints</v>
      </c>
      <c r="D204" s="18" t="str">
        <f>'2025'!D57</f>
        <v>Texans @ Ravens</v>
      </c>
      <c r="E204" s="18" t="str">
        <f>'2025'!E57</f>
        <v>Buccaneers @ Seahawks</v>
      </c>
      <c r="F204" s="18" t="str">
        <f>'2025'!F57</f>
        <v>Commanders @ Chargers</v>
      </c>
      <c r="G204" s="18" t="str">
        <f>'2025'!G57</f>
        <v>Raiders @ Colts</v>
      </c>
      <c r="H204" s="18" t="str">
        <f>'2025'!H57</f>
        <v>Broncos @ Eagles</v>
      </c>
      <c r="I204" s="18" t="str">
        <f>'2025'!I57</f>
        <v>Vikings @ Browns</v>
      </c>
      <c r="J204" s="18" t="str">
        <f>'2025'!J57</f>
        <v>Dolphins @ Panthers</v>
      </c>
      <c r="K204" s="18" t="str">
        <f>'2025'!K57</f>
        <v>Lions @ Bengals</v>
      </c>
      <c r="L204" s="18" t="str">
        <f>'2025'!L57</f>
        <v>Cowboys @ Jets</v>
      </c>
      <c r="M204" s="2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 ht="16.5" customHeight="1">
      <c r="A205" s="3" t="s">
        <v>48</v>
      </c>
      <c r="B205" s="2"/>
      <c r="C205" s="18" t="str">
        <f>'2025'!C58</f>
        <v>41 Rush Yards</v>
      </c>
      <c r="D205" s="18" t="str">
        <f>'2025'!D58</f>
        <v>10-44</v>
      </c>
      <c r="E205" s="18" t="str">
        <f>'2025'!E58</f>
        <v>38-35</v>
      </c>
      <c r="F205" s="18" t="str">
        <f>'2025'!F58</f>
        <v>27-10</v>
      </c>
      <c r="G205" s="18" t="str">
        <f>'2025'!G58</f>
        <v>6 Touchdowns</v>
      </c>
      <c r="H205" s="18" t="str">
        <f>'2025'!H58</f>
        <v>21-17</v>
      </c>
      <c r="I205" s="18" t="str">
        <f>'2025'!I58</f>
        <v>21-17</v>
      </c>
      <c r="J205" s="18" t="str">
        <f>'2025'!J58</f>
        <v>24-27</v>
      </c>
      <c r="K205" s="18" t="str">
        <f>'2025'!K58</f>
        <v>37-24</v>
      </c>
      <c r="L205" s="18" t="str">
        <f>'2025'!L58</f>
        <v>37-22</v>
      </c>
      <c r="M205" s="2"/>
      <c r="N205" s="4"/>
      <c r="O205" s="3" t="s">
        <v>56</v>
      </c>
      <c r="P205" s="3" t="s">
        <v>57</v>
      </c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 ht="16.5" customHeight="1">
      <c r="A206" s="3" t="s">
        <v>59</v>
      </c>
      <c r="B206" s="2"/>
      <c r="C206" s="18" t="str">
        <f>'2025'!C59</f>
        <v>W</v>
      </c>
      <c r="D206" s="18" t="str">
        <f>'2025'!D59</f>
        <v>L</v>
      </c>
      <c r="E206" s="18" t="str">
        <f>'2025'!E59</f>
        <v>W</v>
      </c>
      <c r="F206" s="18" t="str">
        <f>'2025'!F59</f>
        <v>L</v>
      </c>
      <c r="G206" s="18" t="str">
        <f>'2025'!G59</f>
        <v>W</v>
      </c>
      <c r="H206" s="18" t="str">
        <f>'2025'!H59</f>
        <v>W</v>
      </c>
      <c r="I206" s="18" t="str">
        <f>'2025'!I59</f>
        <v>W</v>
      </c>
      <c r="J206" s="18" t="str">
        <f>'2025'!J59</f>
        <v>L</v>
      </c>
      <c r="K206" s="18" t="str">
        <f>'2025'!K59</f>
        <v>W</v>
      </c>
      <c r="L206" s="18" t="str">
        <f>'2025'!L59</f>
        <v>W</v>
      </c>
      <c r="M206" s="2"/>
      <c r="N206" s="3" t="s">
        <v>65</v>
      </c>
      <c r="O206" s="12" t="str">
        <f>IFERROR(__xludf.DUMMYFUNCTION("IF(OR(COUNTA(C203:L203) = 0, COUNTA(C206:L206) = 0), """", IFERROR(TEXTJOIN("", "", TRUE, FILTER(C200:L200, (C206:L206 = ""W"") * (C203:L203 = MAX(FILTER(C203:L203, C206:L206 = ""W""))))), """"))"),"Jake")</f>
        <v>Jake</v>
      </c>
      <c r="P206" s="12" t="str">
        <f>IFERROR(__xludf.DUMMYFUNCTION("IF(COUNTA(C211:L211) = 0, """", IFERROR(TEXTJOIN("", "", TRUE, FILTER(C200:L200, C211:L211 = MAX(C211:L211))), """"))"),"Carson")</f>
        <v>Carson</v>
      </c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 ht="16.5" customHeight="1">
      <c r="A207" s="1" t="s">
        <v>81</v>
      </c>
      <c r="B207" s="2"/>
      <c r="C207" s="4">
        <f t="shared" ref="C207:L207" si="61">IF(OR(C203="",C206=""),"",C194+COUNTIF(C206,"W"))</f>
        <v>10</v>
      </c>
      <c r="D207" s="4">
        <f t="shared" si="61"/>
        <v>13</v>
      </c>
      <c r="E207" s="4">
        <f t="shared" si="61"/>
        <v>8</v>
      </c>
      <c r="F207" s="4">
        <f t="shared" si="61"/>
        <v>10</v>
      </c>
      <c r="G207" s="4">
        <f t="shared" si="61"/>
        <v>8</v>
      </c>
      <c r="H207" s="4">
        <f t="shared" si="61"/>
        <v>9</v>
      </c>
      <c r="I207" s="4">
        <f t="shared" si="61"/>
        <v>6</v>
      </c>
      <c r="J207" s="4">
        <f t="shared" si="61"/>
        <v>9</v>
      </c>
      <c r="K207" s="4">
        <f t="shared" si="61"/>
        <v>7</v>
      </c>
      <c r="L207" s="4">
        <f t="shared" si="61"/>
        <v>10</v>
      </c>
      <c r="M207" s="2"/>
      <c r="N207" s="3" t="s">
        <v>82</v>
      </c>
      <c r="O207" s="4" t="str">
        <f>IFERROR(__xludf.DUMMYFUNCTION("IF(OR(COUNTA(C203:L203) = 0, COUNTA(C206:L206) = 0), """", IFERROR(TEXTJOIN("", "", TRUE, FILTER(C200:L200, (C206:L206 = ""L"") * (C203:L203 = MIN(FILTER(C203:L203, C206:L206 = ""L""))))), """"))"),"Carson, Dan")</f>
        <v>Carson, Dan</v>
      </c>
      <c r="P207" s="12" t="str">
        <f>IFERROR(__xludf.DUMMYFUNCTION("IF(COUNTA(C211:L211) = 0, """", IFERROR(TEXTJOIN("", "", TRUE, FILTER(C200:L200, C211:L211 = MIN(C211:L211))), """"))"),"Nick")</f>
        <v>Nick</v>
      </c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 ht="16.5" customHeight="1">
      <c r="A208" s="1" t="s">
        <v>83</v>
      </c>
      <c r="B208" s="2"/>
      <c r="C208" s="27">
        <f t="shared" ref="C208:L208" si="62">IF(OR(C203="",C206=""),"",C195+COUNTIF(C206,"L"))</f>
        <v>6</v>
      </c>
      <c r="D208" s="27">
        <f t="shared" si="62"/>
        <v>3</v>
      </c>
      <c r="E208" s="27">
        <f t="shared" si="62"/>
        <v>8</v>
      </c>
      <c r="F208" s="27">
        <f t="shared" si="62"/>
        <v>6</v>
      </c>
      <c r="G208" s="27">
        <f t="shared" si="62"/>
        <v>8</v>
      </c>
      <c r="H208" s="27">
        <f t="shared" si="62"/>
        <v>7</v>
      </c>
      <c r="I208" s="27">
        <f t="shared" si="62"/>
        <v>10</v>
      </c>
      <c r="J208" s="27">
        <f t="shared" si="62"/>
        <v>7</v>
      </c>
      <c r="K208" s="27">
        <f t="shared" si="62"/>
        <v>9</v>
      </c>
      <c r="L208" s="27">
        <f t="shared" si="62"/>
        <v>6</v>
      </c>
      <c r="M208" s="2"/>
      <c r="N208" s="3" t="s">
        <v>84</v>
      </c>
      <c r="O208" s="12" t="str">
        <f>IFERROR(__xludf.DUMMYFUNCTION("IF(COUNTA(C203:L203) = 0, """", IFERROR(TEXTJOIN("", "", TRUE, FILTER(C200:L200, C203:L203 = MAX(C203:L203))), """"))"),"Jake")</f>
        <v>Jake</v>
      </c>
      <c r="P208" s="4" t="str">
        <f>IFERROR(__xludf.DUMMYFUNCTION("IF(COUNTA(C203:L203) = 0, """", IFERROR(TEXTJOIN("", "", TRUE, FILTER(C200:L200, C210:L210 = MAX(C210:L210))), """"))"),"Jake")</f>
        <v>Jake</v>
      </c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 ht="16.5" customHeight="1">
      <c r="A209" s="3" t="s">
        <v>85</v>
      </c>
      <c r="B209" s="2"/>
      <c r="C209" s="24">
        <f t="shared" ref="C209:L209" si="63">IF(OR(C203="",C206=""),"",(C207/(C207+C208)))</f>
        <v>0.625</v>
      </c>
      <c r="D209" s="24">
        <f t="shared" si="63"/>
        <v>0.8125</v>
      </c>
      <c r="E209" s="24">
        <f t="shared" si="63"/>
        <v>0.5</v>
      </c>
      <c r="F209" s="24">
        <f t="shared" si="63"/>
        <v>0.625</v>
      </c>
      <c r="G209" s="24">
        <f t="shared" si="63"/>
        <v>0.5</v>
      </c>
      <c r="H209" s="24">
        <f t="shared" si="63"/>
        <v>0.5625</v>
      </c>
      <c r="I209" s="24">
        <f t="shared" si="63"/>
        <v>0.375</v>
      </c>
      <c r="J209" s="24">
        <f t="shared" si="63"/>
        <v>0.5625</v>
      </c>
      <c r="K209" s="24">
        <f t="shared" si="63"/>
        <v>0.4375</v>
      </c>
      <c r="L209" s="24">
        <f t="shared" si="63"/>
        <v>0.625</v>
      </c>
      <c r="M209" s="14"/>
      <c r="N209" s="3" t="s">
        <v>86</v>
      </c>
      <c r="O209" s="4" t="str">
        <f>IFERROR(__xludf.DUMMYFUNCTION("IF(COUNTA(C203:L203) = 0, """", IFERROR(TEXTJOIN("", "", TRUE, FILTER(C200:L200, C203:L203 = MIN(C203:L203))), """"))"),"Nick")</f>
        <v>Nick</v>
      </c>
      <c r="P209" s="4" t="str">
        <f>IFERROR(__xludf.DUMMYFUNCTION("IF(COUNTA(C203:L203) = 0, """", IFERROR(TEXTJOIN("", "", TRUE, FILTER(C200:L200, C210:L210 = MIN(C210:L210))), """"))"),"Carson")</f>
        <v>Carson</v>
      </c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 ht="16.5" customHeight="1">
      <c r="A210" s="3" t="s">
        <v>87</v>
      </c>
      <c r="B210" s="2"/>
      <c r="C210" s="25">
        <f t="shared" ref="C210:L210" si="64">IF(C203="","",IF(((IF(C203 &lt;0,((-100/C203)+1),((C203/100)+1))+(IF(C197&lt;0,((-100/C197)+1),((C197/100)+1)))*(C194+C195))/(C194+C195+1))&lt;2,(-100/(((IF(C203 &lt;0,((-100/C203)+1),((C203/100)+1))+(IF(C197&lt;0,((-100/C197)+1),((C197/100)+1)))*(C194+C195))/(C194+C195+1))-1)),(((IF(C203 &lt;0,((-100/C203)+1),((C203/100)+1))+(IF(C197&lt;0,((-100/C197)+1),((C197/100)+1)))*(C194+C195))/(C194+C195+1))-1)*100))</f>
        <v>-120.8241524</v>
      </c>
      <c r="D210" s="25">
        <f t="shared" si="64"/>
        <v>-140.1165946</v>
      </c>
      <c r="E210" s="25">
        <f t="shared" si="64"/>
        <v>-114.8266895</v>
      </c>
      <c r="F210" s="25">
        <f t="shared" si="64"/>
        <v>-125.7287634</v>
      </c>
      <c r="G210" s="25">
        <f t="shared" si="64"/>
        <v>102.4456921</v>
      </c>
      <c r="H210" s="25">
        <f t="shared" si="64"/>
        <v>108.0022468</v>
      </c>
      <c r="I210" s="25">
        <f t="shared" si="64"/>
        <v>-124.252709</v>
      </c>
      <c r="J210" s="25">
        <f t="shared" si="64"/>
        <v>-116.2527019</v>
      </c>
      <c r="K210" s="25">
        <f t="shared" si="64"/>
        <v>-117.2592895</v>
      </c>
      <c r="L210" s="25">
        <f t="shared" si="64"/>
        <v>-106.8024619</v>
      </c>
      <c r="M210" s="14"/>
      <c r="N210" s="4"/>
      <c r="O210" s="12"/>
      <c r="P210" s="12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 ht="16.5" customHeight="1">
      <c r="A211" s="16" t="s">
        <v>88</v>
      </c>
      <c r="B211" s="2"/>
      <c r="C211" s="26">
        <f>IFERROR(__xludf.DUMMYFUNCTION("IF(OR(C203="""",C206=""""),"""",IF(REGEXMATCH(C206,""W""),IF(C203&lt;0,((-100/C203))*10+C198,((C203/100)*10+C198)),-10+C198))"),20.093812965336973)</f>
        <v>20.09381297</v>
      </c>
      <c r="D211" s="26">
        <f>IFERROR(__xludf.DUMMYFUNCTION("IF(OR(D203="""",D206=""""),"""",IF(REGEXMATCH(D206,""W""),IF(D203&lt;0,((-100/D203))*10+D198,((D203/100)*10+D198)),-10+D198))"),60.49389867673857)</f>
        <v>60.49389868</v>
      </c>
      <c r="E211" s="26">
        <f>IFERROR(__xludf.DUMMYFUNCTION("IF(OR(E203="""",E206=""""),"""",IF(REGEXMATCH(E206,""W""),IF(E203&lt;0,((-100/E203))*10+E198,((E203/100)*10+E198)),-10+E198))"),-7.33771545770267)</f>
        <v>-7.337715458</v>
      </c>
      <c r="F211" s="26">
        <f>IFERROR(__xludf.DUMMYFUNCTION("IF(OR(F203="""",F206=""""),"""",IF(REGEXMATCH(F206,""W""),IF(F203&lt;0,((-100/F203))*10+F198,((F203/100)*10+F198)),-10+F198))"),17.17352554710719)</f>
        <v>17.17352555</v>
      </c>
      <c r="G211" s="26">
        <f>IFERROR(__xludf.DUMMYFUNCTION("IF(OR(G203="""",G206=""""),"""",IF(REGEXMATCH(G206,""W""),IF(G203&lt;0,((-100/G203))*10+G198,((G203/100)*10+G198)),-10+G198))"),-10.3274012167524)</f>
        <v>-10.32740122</v>
      </c>
      <c r="H211" s="26">
        <f>IFERROR(__xludf.DUMMYFUNCTION("IF(OR(H203="""",H206=""""),"""",IF(REGEXMATCH(H206,""W""),IF(H203&lt;0,((-100/H203))*10+H198,((H203/100)*10+H198)),-10+H198))"),23.730334829880455)</f>
        <v>23.73033483</v>
      </c>
      <c r="I211" s="26">
        <f>IFERROR(__xludf.DUMMYFUNCTION("IF(OR(I203="""",I206=""""),"""",IF(REGEXMATCH(I206,""W""),IF(I203&lt;0,((-100/I203))*10+I198,((I203/100)*10+I198)),-10+I198))"),-63.764740791979136)</f>
        <v>-63.76474079</v>
      </c>
      <c r="J211" s="26">
        <f>IFERROR(__xludf.DUMMYFUNCTION("IF(OR(J203="""",J206=""""),"""",IF(REGEXMATCH(J206,""W""),IF(J203&lt;0,((-100/J203))*10+J198,((J203/100)*10+J198)),-10+J198))"),5.762907128150097)</f>
        <v>5.762907128</v>
      </c>
      <c r="K211" s="26">
        <f>IFERROR(__xludf.DUMMYFUNCTION("IF(OR(K203="""",K206=""""),"""",IF(REGEXMATCH(K206,""W""),IF(K203&lt;0,((-100/K203))*10+K198,((K203/100)*10+K198)),-10+K198))"),-30.24702431577648)</f>
        <v>-30.24702432</v>
      </c>
      <c r="L211" s="26">
        <f>IFERROR(__xludf.DUMMYFUNCTION("IF(OR(L203="""",L206=""""),"""",IF(REGEXMATCH(L206,""W""),IF(L203&lt;0,((-100/L203))*10+L198,((L203/100)*10+L198)),-10+L198))"),36.84485448771783)</f>
        <v>36.84485449</v>
      </c>
      <c r="M211" s="14"/>
      <c r="N211" s="16" t="s">
        <v>89</v>
      </c>
      <c r="O211" s="10">
        <f>IFERROR(__xludf.DUMMYFUNCTION("IF(AND(C211="""",AND(D211="""",AND(E211="""",AND(F211="""",AND(G211="""",AND(H211="""",AND(I211="""",AND(J211="""",AND(K211="""",L211=""""))))))))),"""",(IF(C206="""",0,IF(REGEXMATCH(C206,""W""),IF(C203&lt;0,((-100/C203))*10,((C203/100)*10)),-10))+IF(D206="""&amp;""",0,IF(REGEXMATCH(D206,""W""),IF(D203&lt;0,((-100/D203))*10,((D203/100)*10)),-10))+IF(E206="""",0,IF(REGEXMATCH(E206,""W""),IF(E203&lt;0,((-100/E203))*10,((E203/100)*10)),-10))+IF(F206="""",0,IF(REGEXMATCH(F206,""W""),IF(F203&lt;0,((-100/F203))*10,((F203/100)*10)"&amp;"),-10))+IF(G206="""",0,IF(REGEXMATCH(G206,""W""),IF(G203&lt;0,((-100/G203))*10,((G203/100)*10)),-10))+IF(H206="""",0,IF(REGEXMATCH(H206,""W""),IF(H203&lt;0,((-100/H203))*10,((H203/100)*10)),-10))+IF(I206="""",0,IF(REGEXMATCH(I206,""W""),IF(I203&lt;0,((-100/I203))*"&amp;"10,((I203/100)*10)),-10))+IF(J206="""",0,IF(REGEXMATCH(J206,""W""),IF(J203&lt;0,((-100/J203))*10,((J203/100)*10)),-10))+IF(K206="""",0,IF(REGEXMATCH(K206,""W""),IF(K203&lt;0,((-100/K203))*10,((K203/100)*10)),-10))+IF(L206="""",0,IF(REGEXMATCH(L206,""W""),IF(L20"&amp;"3&lt;0,((-100/L203))*10,((L203/100)*10)),-10))))"),36.917698169991745)</f>
        <v>36.91769817</v>
      </c>
      <c r="P211" s="10">
        <f>IFERROR(__xludf.DUMMYFUNCTION("IF(AND(C211="""",AND(D211="""",AND(E211="""",AND(F211="""",AND(G211="""",AND(H211="""",AND(I211="""",AND(J211="""",AND(K211="""",L211=""""))))))))),"""",(P198+IF(C206="""",0,IF(REGEXMATCH(C206,""W""),IF(C203&lt;0,((-100/C203))*10,((C203/100)*10)),-10))+IF(D2"&amp;"06="""",0,IF(REGEXMATCH(D206,""W""),IF(D203&lt;0,((-100/D203))*10,((D203/100)*10)),-10))+IF(E206="""",0,IF(REGEXMATCH(E206,""W""),IF(E203&lt;0,((-100/E203))*10,((E203/100)*10)),-10))+IF(F206="""",0,IF(REGEXMATCH(F206,""W""),IF(F203&lt;0,((-100/F203))*10,((F203/100"&amp;")*10)),-10))+IF(G206="""",0,IF(REGEXMATCH(G206,""W""),IF(G203&lt;0,((-100/G203))*10,((G203/100)*10)),-10))+IF(H206="""",0,IF(REGEXMATCH(H206,""W""),IF(H203&lt;0,((-100/H203))*10,((H203/100)*10)),-10))+IF(I206="""",0,IF(REGEXMATCH(I206,""W""),IF(I203&lt;0,((-100/I2"&amp;"03))*10,((I203/100)*10)),-10))+IF(J206="""",0,IF(REGEXMATCH(J206,""W""),IF(J203&lt;0,((-100/J203))*10,((J203/100)*10)),-10))+IF(K206="""",0,IF(REGEXMATCH(K206,""W""),IF(K203&lt;0,((-100/K203))*10,((K203/100)*10)),-10))+IF(L206="""",0,IF(REGEXMATCH(L206,""W""),I"&amp;"F(L203&lt;0,((-100/L203))*10,((L203/100)*10)),-10))))"),52.42245185272036)</f>
        <v>52.42245185</v>
      </c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 ht="16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 ht="16.5" customHeight="1">
      <c r="A213" s="1" t="s">
        <v>14</v>
      </c>
      <c r="B213" s="2"/>
      <c r="C213" s="3" t="s">
        <v>1</v>
      </c>
      <c r="D213" s="3" t="s">
        <v>2</v>
      </c>
      <c r="E213" s="3" t="s">
        <v>3</v>
      </c>
      <c r="F213" s="3" t="s">
        <v>4</v>
      </c>
      <c r="G213" s="3" t="s">
        <v>5</v>
      </c>
      <c r="H213" s="3" t="s">
        <v>6</v>
      </c>
      <c r="I213" s="3" t="s">
        <v>7</v>
      </c>
      <c r="J213" s="3" t="s">
        <v>8</v>
      </c>
      <c r="K213" s="3" t="s">
        <v>9</v>
      </c>
      <c r="L213" s="3" t="s">
        <v>10</v>
      </c>
      <c r="M213" s="2"/>
      <c r="N213" s="4"/>
      <c r="O213" s="3" t="s">
        <v>11</v>
      </c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 ht="16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 ht="16.5" customHeight="1">
      <c r="A215" s="3" t="s">
        <v>12</v>
      </c>
      <c r="B215" s="2"/>
      <c r="C215" s="12" t="str">
        <f>'2025'!C68</f>
        <v>J. Karty Over 1.5 Extra Points</v>
      </c>
      <c r="D215" s="12" t="str">
        <f>'2025'!D68</f>
        <v>Lions +1.5</v>
      </c>
      <c r="E215" s="12" t="str">
        <f>'2025'!E68</f>
        <v>R. White ATD</v>
      </c>
      <c r="F215" s="12" t="str">
        <f>'2025'!F68</f>
        <v>Colts -6.5</v>
      </c>
      <c r="G215" s="12" t="str">
        <f>'2025'!G68</f>
        <v>Patriots Moneyline</v>
      </c>
      <c r="H215" s="12" t="str">
        <f>'2025'!H68</f>
        <v>Steelers -5.5</v>
      </c>
      <c r="I215" s="12" t="str">
        <f>'2025'!I68</f>
        <v>Broncos -6.5</v>
      </c>
      <c r="J215" s="12" t="str">
        <f>'2025'!J68</f>
        <v>Under 52.5</v>
      </c>
      <c r="K215" s="12" t="str">
        <f>'2025'!K68</f>
        <v>C. Brown Under 70.5 Combined Yards</v>
      </c>
      <c r="L215" s="12" t="str">
        <f>'2025'!L68</f>
        <v>Over 3.5 Field Goals</v>
      </c>
      <c r="M215" s="2"/>
      <c r="N215" s="3" t="s">
        <v>13</v>
      </c>
      <c r="O215" s="7">
        <f>IF(AND(C216="",AND(D216="",AND(E216="",AND(F216="",AND(G216="",AND(H216="",AND(I216="",AND(J216="",AND(K216="",L216=""))))))))),"",IF(((IF(C216="",1,IF(C216&gt;0,(C216/100)+1,(100/((-1)*C216))+1)))*(IF(D216="",1,IF(D216&gt;0,(D216/100)+1,(100/((-1)*D216))+1)))*(IF(E216="",1,IF(E216&gt;0,(E216/100)+1,(100/((-1)*E216))+1)))*(IF(F216="",1,IF(F216&gt;0,(F216/100)+1,(100/((-1)*F216))+1)))*(IF(G216="",1,IF(G216&gt;0,(G216/100)+1,(100/((-1)*G216))+1)))*(IF(H216="",1,IF(H216&gt;0,(H216/100)+1,(100/((-1)*H216))+1)))*(IF(I216="",1,IF(I216&gt;0,(I216/100)+1,(100/((-1)*I216))+1)))*(IF(J216="",1,IF(J216&gt;0,(J216/100)+1,(100/((-1)*J216))+1)))*(IF(K216="",1,IF(K216&gt;0,(K216/100)+1,(100/((-1)*K216))+1)))*(IF(L216="",1,IF(L216&gt;0,(L216/100)+1,(100/((-1)*L216))+1))))&lt;2,((-100)/(((IF(C216="",1,IF(C216&gt;0,(C216/100)+1,(100/((-1)*C216))+1)))*(IF(D216="",1,IF(D216&gt;0,(D216/100)+1,(100/((-1)*D216))+1)))*(IF(E216="",1,IF(E216&gt;0,(E216/100)+1,(100/((-1)*E216))+1)))*(IF(F216="",1,IF(F216&gt;0,(F216/100)+1,(100/((-1)*F216))+1)))*(IF(G216="",1,IF(G216&gt;0,(G216/100)+1,(100/((-1)*G216))+1)))*(IF(H216="",1,IF(H216&gt;0,(H216/100)+1,(100/((-1)*H216))+1)))*(IF(I216="",1,IF(I216&gt;0,(I216/100)+1,(100/((-1)*I216))+1)))*(IF(J216="",1,IF(J216&gt;0,(J216/100)+1,(100/((-1)*J216))+1)))*(IF(K216="",1,IF(K216&gt;0,(K216/100)+1,(100/((-1)*K216))+1)))*(IF(L216="",1,IF(L216&gt;0,(L216/100)+1,(100/((-1)*L216))+1))))-1)),((((IF(C216="",1,IF(C216&gt;0,(C216/100)+1,(100/((-1)*C216))+1)))*(IF(D216="",1,IF(D216&gt;0,(D216/100)+1,(100/((-1)*D216))+1)))*(IF(E216="",1,IF(E216&gt;0,(E216/100)+1,(100/((-1)*E216))+1)))*(IF(F216="",1,IF(F216&gt;0,(F216/100)+1,(100/((-1)*F216))+1)))*(IF(G216="",1,IF(G216&gt;0,(G216/100)+1,(100/((-1)*G216))+1)))*(IF(H216="",1,IF(H216&gt;0,(H216/100)+1,(100/((-1)*H216))+1)))*(IF(I216="",1,IF(I216&gt;0,(I216/100)+1,(100/((-1)*I216))+1)))*(IF(J216="",1,IF(J216&gt;0,(J216/100)+1,(100/((-1)*J216))+1)))*(IF(K216="",1,IF(K216&gt;0,(K216/100)+1,(100/((-1)*K216))+1)))*(IF(L216="",1,IF(L216&gt;0,(L216/100)+1,(100/((-1)*L216))+1))))-1)*(100))))</f>
        <v>31073.82775</v>
      </c>
      <c r="P215" s="4"/>
      <c r="Q215" s="8" t="s">
        <v>35</v>
      </c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 ht="16.5" customHeight="1">
      <c r="A216" s="3" t="s">
        <v>13</v>
      </c>
      <c r="B216" s="2"/>
      <c r="C216" s="18">
        <f>'2025'!C69</f>
        <v>-152</v>
      </c>
      <c r="D216" s="18">
        <f>'2025'!D69</f>
        <v>105</v>
      </c>
      <c r="E216" s="18">
        <f>'2025'!E69</f>
        <v>-133</v>
      </c>
      <c r="F216" s="18">
        <f>'2025'!F69</f>
        <v>-130</v>
      </c>
      <c r="G216" s="18">
        <f>'2025'!G69</f>
        <v>-200</v>
      </c>
      <c r="H216" s="18">
        <f>'2025'!H69</f>
        <v>-120</v>
      </c>
      <c r="I216" s="18">
        <f>'2025'!I69</f>
        <v>-135</v>
      </c>
      <c r="J216" s="18">
        <f>'2025'!J69</f>
        <v>-145</v>
      </c>
      <c r="K216" s="18">
        <f>'2025'!K69</f>
        <v>-118</v>
      </c>
      <c r="L216" s="18">
        <f>'2025'!L69</f>
        <v>-102</v>
      </c>
      <c r="M216" s="2">
        <v>6.0</v>
      </c>
      <c r="N216" s="3" t="s">
        <v>36</v>
      </c>
      <c r="O216" s="10">
        <f>IF(AND(C216="",AND(D216="",AND(E216="",AND(F216="",AND(G216="",AND(H216="",AND(I216="",AND(J216="",AND(K216="",L216=""))))))))),"",10+IF((IF(((IF(C216="",1,IF(C216&gt;0,(C216/100)+1,(100/((-1)*C216))+1)))*(IF(D216="",1,IF(D216&gt;0,(D216/100)+1,(100/((-1)*D216))+1)))*(IF(E216="",1,IF(E216&gt;0,(E216/100)+1,(100/((-1)*E216))+1)))*(IF(F216="",1,IF(F216&gt;0,(F216/100)+1,(100/((-1)*F216))+1)))*(IF(G216="",1,IF(G216&gt;0,(G216/100)+1,(100/((-1)*G216))+1)))*(IF(H216="",1,IF(H216&gt;0,(H216/100)+1,(100/((-1)*H216))+1)))*(IF(I216="",1,IF(I216&gt;0,(I216/100)+1,(100/((-1)*I216))+1)))*(IF(J216="",1,IF(J216&gt;0,(J216/100)+1,(100/((-1)*J216))+1)))*(IF(K216="",1,IF(K216&gt;0,(K216/100)+1,(100/((-1)*K216))+1)))*(IF(L216="",1,IF(L216&gt;0,(L216/100)+1,(100/((-1)*L216))+1))))&lt;2,((-100)/(((IF(C216="",1,IF(C216&gt;0,(C216/100)+1,(100/((-1)*C216))+1)))*(IF(D216="",1,IF(D216&gt;0,(D216/100)+1,(100/((-1)*D216))+1)))*(IF(E216="",1,IF(E216&gt;0,(E216/100)+1,(100/((-1)*E216))+1)))*(IF(F216="",1,IF(F216&gt;0,(F216/100)+1,(100/((-1)*F216))+1)))*(IF(G216="",1,IF(G216&gt;0,(G216/100)+1,(100/((-1)*G216))+1)))*(IF(H216="",1,IF(H216&gt;0,(H216/100)+1,(100/((-1)*H216))+1)))*(IF(I216="",1,IF(I216&gt;0,(I216/100)+1,(100/((-1)*I216))+1)))*(IF(J216="",1,IF(J216&gt;0,(J216/100)+1,(100/((-1)*J216))+1)))*(IF(K216="",1,IF(K216&gt;0,(K216/100)+1,(100/((-1)*K216))+1)))*(IF(L216="",1,IF(L216&gt;0,(L216/100)+1,(100/((-1)*L216))+1))))-1)),((((IF(C216="",1,IF(C216&gt;0,(C216/100)+1,(100/((-1)*C216))+1)))*(IF(D216="",1,IF(D216&gt;0,(D216/100)+1,(100/((-1)*D216))+1)))*(IF(E216="",1,IF(E216&gt;0,(E216/100)+1,(100/((-1)*E216))+1)))*(IF(F216="",1,IF(F216&gt;0,(F216/100)+1,(100/((-1)*F216))+1)))*(IF(G216="",1,IF(G216&gt;0,(G216/100)+1,(100/((-1)*G216))+1)))*(IF(H216="",1,IF(H216&gt;0,(H216/100)+1,(100/((-1)*H216))+1)))*(IF(I216="",1,IF(I216&gt;0,(I216/100)+1,(100/((-1)*I216))+1)))*(IF(J216="",1,IF(J216&gt;0,(J216/100)+1,(100/((-1)*J216))+1)))*(IF(K216="",1,IF(K216&gt;0,(K216/100)+1,(100/((-1)*K216))+1)))*(IF(L216="",1,IF(L216&gt;0,(L216/100)+1,(100/((-1)*L216))+1))))-1)*(100))))&lt;0,(((-100)/((IF(((IF(C216="",1,IF(C216&gt;0,(C216/100)+1,(100/((-1)*C216))+1)))*(IF(D216="",1,IF(D216&gt;0,(D216/100)+1,(100/((-1)*D216))+1)))*(IF(E216="",1,IF(E216&gt;0,(E216/100)+1,(100/((-1)*E216))+1)))*(IF(F216="",1,IF(F216&gt;0,(F216/100)+1,(100/((-1)*F216))+1)))*(IF(G216="",1,IF(G216&gt;0,(G216/100)+1,(100/((-1)*G216))+1)))*(IF(H216="",1,IF(H216&gt;0,(H216/100)+1,(100/((-1)*H216))+1)))*(IF(I216="",1,IF(I216&gt;0,(I216/100)+1,(100/((-1)*I216))+1)))*(IF(J216="",1,IF(J216&gt;0,(J216/100)+1,(100/((-1)*J216))+1)))*(IF(K216="",1,IF(K216&gt;0,(K216/100)+1,(100/((-1)*K216))+1)))*(IF(L216="",1,IF(L216&gt;0,(L216/100)+1,(100/((-1)*L216))+1))))&lt;2,((-100)/(((IF(C216="",1,IF(C216&gt;0,(C216/100)+1,(100/((-1)*C216))+1)))*(IF(D216="",1,IF(D216&gt;0,(D216/100)+1,(100/((-1)*D216))+1)))*(IF(E216="",1,IF(E216&gt;0,(E216/100)+1,(100/((-1)*E216))+1)))*(IF(F216="",1,IF(F216&gt;0,(F216/100)+1,(100/((-1)*F216))+1)))*(IF(G216="",1,IF(G216&gt;0,(G216/100)+1,(100/((-1)*G216))+1)))*(IF(H216="",1,IF(H216&gt;0,(H216/100)+1,(100/((-1)*H216))+1)))*(IF(I216="",1,IF(I216&gt;0,(I216/100)+1,(100/((-1)*I216))+1)))*(IF(J216="",1,IF(J216&gt;0,(J216/100)+1,(100/((-1)*J216))+1)))*(IF(K216="",1,IF(K216&gt;0,(K216/100)+1,(100/((-1)*K216))+1)))*(IF(L216="",1,IF(L216&gt;0,(L216/100)+1,(100/((-1)*L216))+1))))-1)),((((IF(C216="",1,IF(C216&gt;0,(C216/100)+1,(100/((-1)*C216))+1)))*(IF(D216="",1,IF(D216&gt;0,(D216/100)+1,(100/((-1)*D216))+1)))*(IF(E216="",1,IF(E216&gt;0,(E216/100)+1,(100/((-1)*E216))+1)))*(IF(F216="",1,IF(F216&gt;0,(F216/100)+1,(100/((-1)*F216))+1)))*(IF(G216="",1,IF(G216&gt;0,(G216/100)+1,(100/((-1)*G216))+1)))*(IF(H216="",1,IF(H216&gt;0,(H216/100)+1,(100/((-1)*H216))+1)))*(IF(I216="",1,IF(I216&gt;0,(I216/100)+1,(100/((-1)*I216))+1)))*(IF(J216="",1,IF(J216&gt;0,(J216/100)+1,(100/((-1)*J216))+1)))*(IF(K216="",1,IF(K216&gt;0,(K216/100)+1,(100/((-1)*K216))+1)))*(IF(L216="",1,IF(L216&gt;0,(L216/100)+1,(100/((-1)*L216))+1))))-1)*(100))))))*10),(((IF(((IF(C216="",1,IF(C216&gt;0,(C216/100)+1,(100/((-1)*C216))+1)))*(IF(D216="",1,IF(D216&gt;0,(D216/100)+1,(100/((-1)*D216))+1)))*(IF(E216="",1,IF(E216&gt;0,(E216/100)+1,(100/((-1)*E216))+1)))*(IF(F216="",1,IF(F216&gt;0,(F216/100)+1,(100/((-1)*F216))+1)))*(IF(G216="",1,IF(G216&gt;0,(G216/100)+1,(100/((-1)*G216))+1)))*(IF(H216="",1,IF(H216&gt;0,(H216/100)+1,(100/((-1)*H216))+1)))*(IF(I216="",1,IF(I216&gt;0,(I216/100)+1,(100/((-1)*I216))+1)))*(IF(J216="",1,IF(J216&gt;0,(J216/100)+1,(100/((-1)*J216))+1)))*(IF(K216="",1,IF(K216&gt;0,(K216/100)+1,(100/((-1)*K216))+1)))*(IF(L216="",1,IF(L216&gt;0,(L216/100)+1,(100/((-1)*L216))+1))))&lt;2,((-100)/(((IF(C216="",1,IF(C216&gt;0,(C216/100)+1,(100/((-1)*C216))+1)))*(IF(D216="",1,IF(D216&gt;0,(D216/100)+1,(100/((-1)*D216))+1)))*(IF(E216="",1,IF(E216&gt;0,(E216/100)+1,(100/((-1)*E216))+1)))*(IF(F216="",1,IF(F216&gt;0,(F216/100)+1,(100/((-1)*F216))+1)))*(IF(G216="",1,IF(G216&gt;0,(G216/100)+1,(100/((-1)*G216))+1)))*(IF(H216="",1,IF(H216&gt;0,(H216/100)+1,(100/((-1)*H216))+1)))*(IF(I216="",1,IF(I216&gt;0,(I216/100)+1,(100/((-1)*I216))+1)))*(IF(J216="",1,IF(J216&gt;0,(J216/100)+1,(100/((-1)*J216))+1)))*(IF(K216="",1,IF(K216&gt;0,(K216/100)+1,(100/((-1)*K216))+1)))*(IF(L216="",1,IF(L216&gt;0,(L216/100)+1,(100/((-1)*L216))+1))))-1)),((((IF(C216="",1,IF(C216&gt;0,(C216/100)+1,(100/((-1)*C216))+1)))*(IF(D216="",1,IF(D216&gt;0,(D216/100)+1,(100/((-1)*D216))+1)))*(IF(E216="",1,IF(E216&gt;0,(E216/100)+1,(100/((-1)*E216))+1)))*(IF(F216="",1,IF(F216&gt;0,(F216/100)+1,(100/((-1)*F216))+1)))*(IF(G216="",1,IF(G216&gt;0,(G216/100)+1,(100/((-1)*G216))+1)))*(IF(H216="",1,IF(H216&gt;0,(H216/100)+1,(100/((-1)*H216))+1)))*(IF(I216="",1,IF(I216&gt;0,(I216/100)+1,(100/((-1)*I216))+1)))*(IF(J216="",1,IF(J216&gt;0,(J216/100)+1,(100/((-1)*J216))+1)))*(IF(K216="",1,IF(K216&gt;0,(K216/100)+1,(100/((-1)*K216))+1)))*(IF(L216="",1,IF(L216&gt;0,(L216/100)+1,(100/((-1)*L216))+1))))-1)*(100))))/100)*10)))</f>
        <v>3117.382775</v>
      </c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 ht="16.5" customHeight="1">
      <c r="A217" s="3" t="s">
        <v>37</v>
      </c>
      <c r="B217" s="2"/>
      <c r="C217" s="18" t="str">
        <f>'2025'!C70</f>
        <v>Rams @ Ravens</v>
      </c>
      <c r="D217" s="18" t="str">
        <f>'2025'!D70</f>
        <v>Lions @ Chiefs</v>
      </c>
      <c r="E217" s="18" t="str">
        <f>'2025'!E70</f>
        <v>49ers @ Buccaneers</v>
      </c>
      <c r="F217" s="18" t="str">
        <f>'2025'!F70</f>
        <v>Cardinals @ Colts</v>
      </c>
      <c r="G217" s="18" t="str">
        <f>'2025'!G70</f>
        <v>Patriots @ Saints</v>
      </c>
      <c r="H217" s="18" t="str">
        <f>'2025'!H70</f>
        <v>Browns @ Steelers</v>
      </c>
      <c r="I217" s="18" t="str">
        <f>'2025'!I70</f>
        <v>Broncos @ Jets</v>
      </c>
      <c r="J217" s="18" t="str">
        <f>'2025'!J70</f>
        <v>Bills @ Falcons</v>
      </c>
      <c r="K217" s="18" t="str">
        <f>'2025'!K70</f>
        <v>Bengals @ Packers</v>
      </c>
      <c r="L217" s="18" t="str">
        <f>'2025'!L70</f>
        <v>Cowboys @ Panthers</v>
      </c>
      <c r="M217" s="2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 ht="16.5" customHeight="1">
      <c r="A218" s="3" t="s">
        <v>48</v>
      </c>
      <c r="B218" s="2"/>
      <c r="C218" s="18" t="str">
        <f>'2025'!C71</f>
        <v>2 Extra Points</v>
      </c>
      <c r="D218" s="18" t="str">
        <f>'2025'!D71</f>
        <v>17-30</v>
      </c>
      <c r="E218" s="18" t="str">
        <f>'2025'!E71</f>
        <v>1 TD</v>
      </c>
      <c r="F218" s="18" t="str">
        <f>'2025'!F71</f>
        <v>27-31</v>
      </c>
      <c r="G218" s="18" t="str">
        <f>'2025'!G71</f>
        <v>25-19</v>
      </c>
      <c r="H218" s="32">
        <f>'2025'!H71</f>
        <v>45923</v>
      </c>
      <c r="I218" s="18" t="str">
        <f>'2025'!I71</f>
        <v>13-11</v>
      </c>
      <c r="J218" s="18" t="str">
        <f>'2025'!J71</f>
        <v>14-24</v>
      </c>
      <c r="K218" s="18" t="str">
        <f>'2025'!K71</f>
        <v>49 Combined Yards</v>
      </c>
      <c r="L218" s="18" t="str">
        <f>'2025'!L71</f>
        <v>5 Field Goals</v>
      </c>
      <c r="M218" s="2"/>
      <c r="N218" s="4"/>
      <c r="O218" s="3" t="s">
        <v>56</v>
      </c>
      <c r="P218" s="3" t="s">
        <v>57</v>
      </c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 ht="16.5" customHeight="1">
      <c r="A219" s="3" t="s">
        <v>59</v>
      </c>
      <c r="B219" s="2"/>
      <c r="C219" s="18" t="str">
        <f>'2025'!C72</f>
        <v>W</v>
      </c>
      <c r="D219" s="18" t="str">
        <f>'2025'!D72</f>
        <v>L</v>
      </c>
      <c r="E219" s="18" t="str">
        <f>'2025'!E72</f>
        <v>W</v>
      </c>
      <c r="F219" s="18" t="str">
        <f>'2025'!F72</f>
        <v>L</v>
      </c>
      <c r="G219" s="18" t="str">
        <f>'2025'!G72</f>
        <v>W</v>
      </c>
      <c r="H219" s="18" t="str">
        <f>'2025'!H72</f>
        <v>W</v>
      </c>
      <c r="I219" s="18" t="str">
        <f>'2025'!I72</f>
        <v>L</v>
      </c>
      <c r="J219" s="18" t="str">
        <f>'2025'!J72</f>
        <v>W</v>
      </c>
      <c r="K219" s="18" t="str">
        <f>'2025'!K72</f>
        <v>W</v>
      </c>
      <c r="L219" s="18" t="str">
        <f>'2025'!L72</f>
        <v>W</v>
      </c>
      <c r="M219" s="2"/>
      <c r="N219" s="3" t="s">
        <v>65</v>
      </c>
      <c r="O219" s="12" t="str">
        <f>IFERROR(__xludf.DUMMYFUNCTION("IF(OR(COUNTA(C216:L216) = 0, COUNTA(C219:L219) = 0), """", IFERROR(TEXTJOIN("", "", TRUE, FILTER(C213:L213, (C219:L219 = ""W"") * (C216:L216 = MAX(FILTER(C216:L216, C219:L219 = ""W""))))), """"))"),"Trey")</f>
        <v>Trey</v>
      </c>
      <c r="P219" s="12" t="str">
        <f>IFERROR(__xludf.DUMMYFUNCTION("IF(COUNTA(C224:L224) = 0, """", IFERROR(TEXTJOIN("", "", TRUE, FILTER(C213:L213, C224:L224 = MAX(C224:L224))), """"))"),"Carson")</f>
        <v>Carson</v>
      </c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 ht="16.5" customHeight="1">
      <c r="A220" s="1" t="s">
        <v>81</v>
      </c>
      <c r="B220" s="2"/>
      <c r="C220" s="4">
        <f t="shared" ref="C220:L220" si="65">IF(OR(C216="",C219=""),"",C207+COUNTIF(C219,"W"))</f>
        <v>11</v>
      </c>
      <c r="D220" s="4">
        <f t="shared" si="65"/>
        <v>13</v>
      </c>
      <c r="E220" s="4">
        <f t="shared" si="65"/>
        <v>9</v>
      </c>
      <c r="F220" s="4">
        <f t="shared" si="65"/>
        <v>10</v>
      </c>
      <c r="G220" s="4">
        <f t="shared" si="65"/>
        <v>9</v>
      </c>
      <c r="H220" s="4">
        <f t="shared" si="65"/>
        <v>10</v>
      </c>
      <c r="I220" s="4">
        <f t="shared" si="65"/>
        <v>6</v>
      </c>
      <c r="J220" s="4">
        <f t="shared" si="65"/>
        <v>10</v>
      </c>
      <c r="K220" s="4">
        <f t="shared" si="65"/>
        <v>8</v>
      </c>
      <c r="L220" s="4">
        <f t="shared" si="65"/>
        <v>11</v>
      </c>
      <c r="M220" s="2"/>
      <c r="N220" s="3" t="s">
        <v>82</v>
      </c>
      <c r="O220" s="4" t="str">
        <f>IFERROR(__xludf.DUMMYFUNCTION("IF(OR(COUNTA(C216:L216) = 0, COUNTA(C219:L219) = 0), """", IFERROR(TEXTJOIN("", "", TRUE, FILTER(C213:L213, (C219:L219 = ""L"") * (C216:L216 = MIN(FILTER(C216:L216, C219:L219 = ""L""))))), """"))"),"Nick")</f>
        <v>Nick</v>
      </c>
      <c r="P220" s="12" t="str">
        <f>IFERROR(__xludf.DUMMYFUNCTION("IF(COUNTA(C224:L224) = 0, """", IFERROR(TEXTJOIN("", "", TRUE, FILTER(C213:L213, C224:L224 = MIN(C224:L224))), """"))"),"Nick")</f>
        <v>Nick</v>
      </c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 ht="16.5" customHeight="1">
      <c r="A221" s="1" t="s">
        <v>83</v>
      </c>
      <c r="B221" s="2"/>
      <c r="C221" s="27">
        <f t="shared" ref="C221:L221" si="66">IF(OR(C216="",C219=""),"",C208+COUNTIF(C219,"L"))</f>
        <v>6</v>
      </c>
      <c r="D221" s="27">
        <f t="shared" si="66"/>
        <v>4</v>
      </c>
      <c r="E221" s="27">
        <f t="shared" si="66"/>
        <v>8</v>
      </c>
      <c r="F221" s="27">
        <f t="shared" si="66"/>
        <v>7</v>
      </c>
      <c r="G221" s="27">
        <f t="shared" si="66"/>
        <v>8</v>
      </c>
      <c r="H221" s="27">
        <f t="shared" si="66"/>
        <v>7</v>
      </c>
      <c r="I221" s="27">
        <f t="shared" si="66"/>
        <v>11</v>
      </c>
      <c r="J221" s="27">
        <f t="shared" si="66"/>
        <v>7</v>
      </c>
      <c r="K221" s="27">
        <f t="shared" si="66"/>
        <v>9</v>
      </c>
      <c r="L221" s="27">
        <f t="shared" si="66"/>
        <v>6</v>
      </c>
      <c r="M221" s="2"/>
      <c r="N221" s="3" t="s">
        <v>84</v>
      </c>
      <c r="O221" s="12" t="str">
        <f>IFERROR(__xludf.DUMMYFUNCTION("IF(COUNTA(C216:L216) = 0, """", IFERROR(TEXTJOIN("", "", TRUE, FILTER(C213:L213, C216:L216 = MAX(C216:L216))), """"))"),"Carson")</f>
        <v>Carson</v>
      </c>
      <c r="P221" s="4" t="str">
        <f>IFERROR(__xludf.DUMMYFUNCTION("IF(COUNTA(C216:L216) = 0, """", IFERROR(TEXTJOIN("", "", TRUE, FILTER(C213:L213, C223:L223 = MAX(C223:L223))), """"))"),"Jake")</f>
        <v>Jake</v>
      </c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 ht="16.5" customHeight="1">
      <c r="A222" s="3" t="s">
        <v>85</v>
      </c>
      <c r="B222" s="2"/>
      <c r="C222" s="24">
        <f t="shared" ref="C222:L222" si="67">IF(OR(C216="",C219=""),"",(C220/(C220+C221)))</f>
        <v>0.6470588235</v>
      </c>
      <c r="D222" s="24">
        <f t="shared" si="67"/>
        <v>0.7647058824</v>
      </c>
      <c r="E222" s="24">
        <f t="shared" si="67"/>
        <v>0.5294117647</v>
      </c>
      <c r="F222" s="24">
        <f t="shared" si="67"/>
        <v>0.5882352941</v>
      </c>
      <c r="G222" s="24">
        <f t="shared" si="67"/>
        <v>0.5294117647</v>
      </c>
      <c r="H222" s="24">
        <f t="shared" si="67"/>
        <v>0.5882352941</v>
      </c>
      <c r="I222" s="24">
        <f t="shared" si="67"/>
        <v>0.3529411765</v>
      </c>
      <c r="J222" s="24">
        <f t="shared" si="67"/>
        <v>0.5882352941</v>
      </c>
      <c r="K222" s="24">
        <f t="shared" si="67"/>
        <v>0.4705882353</v>
      </c>
      <c r="L222" s="24">
        <f t="shared" si="67"/>
        <v>0.6470588235</v>
      </c>
      <c r="M222" s="14"/>
      <c r="N222" s="3" t="s">
        <v>86</v>
      </c>
      <c r="O222" s="4" t="str">
        <f>IFERROR(__xludf.DUMMYFUNCTION("IF(COUNTA(C216:L216) = 0, """", IFERROR(TEXTJOIN("", "", TRUE, FILTER(C213:L213, C216:L216 = MIN(C216:L216))), """"))"),"Hunter")</f>
        <v>Hunter</v>
      </c>
      <c r="P222" s="4" t="str">
        <f>IFERROR(__xludf.DUMMYFUNCTION("IF(COUNTA(C216:L216) = 0, """", IFERROR(TEXTJOIN("", "", TRUE, FILTER(C213:L213, C223:L223 = MIN(C223:L223))), """"))"),"Carson")</f>
        <v>Carson</v>
      </c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 ht="16.5" customHeight="1">
      <c r="A223" s="3" t="s">
        <v>87</v>
      </c>
      <c r="B223" s="2"/>
      <c r="C223" s="25">
        <f t="shared" ref="C223:L223" si="68">IF(C216="","",IF(((IF(C216 &lt;0,((-100/C216)+1),((C216/100)+1))+(IF(C210&lt;0,((-100/C210)+1),((C210/100)+1)))*(C207+C208))/(C207+C208+1))&lt;2,(-100/(((IF(C216 &lt;0,((-100/C216)+1),((C216/100)+1))+(IF(C210&lt;0,((-100/C210)+1),((C210/100)+1)))*(C207+C208))/(C207+C208+1))-1)),(((IF(C216 &lt;0,((-100/C216)+1),((C216/100)+1))+(IF(C210&lt;0,((-100/C210)+1),((C210/100)+1)))*(C207+C208))/(C207+C208+1))-1)*100))</f>
        <v>-122.2996929</v>
      </c>
      <c r="D223" s="25">
        <f t="shared" si="68"/>
        <v>-136.3374469</v>
      </c>
      <c r="E223" s="25">
        <f t="shared" si="68"/>
        <v>-115.7571141</v>
      </c>
      <c r="F223" s="25">
        <f t="shared" si="68"/>
        <v>-125.9722282</v>
      </c>
      <c r="G223" s="25">
        <f t="shared" si="68"/>
        <v>-100.6434626</v>
      </c>
      <c r="H223" s="25">
        <f t="shared" si="68"/>
        <v>106.5511343</v>
      </c>
      <c r="I223" s="25">
        <f t="shared" si="68"/>
        <v>-124.8373116</v>
      </c>
      <c r="J223" s="25">
        <f t="shared" si="68"/>
        <v>-117.6244607</v>
      </c>
      <c r="K223" s="25">
        <f t="shared" si="68"/>
        <v>-117.3026032</v>
      </c>
      <c r="L223" s="25">
        <f t="shared" si="68"/>
        <v>-106.5074803</v>
      </c>
      <c r="M223" s="14"/>
      <c r="N223" s="4"/>
      <c r="O223" s="12"/>
      <c r="P223" s="12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 ht="16.5" customHeight="1">
      <c r="A224" s="16" t="s">
        <v>88</v>
      </c>
      <c r="B224" s="2"/>
      <c r="C224" s="26">
        <f>IFERROR(__xludf.DUMMYFUNCTION("IF(OR(C216="""",C219=""""),"""",IF(REGEXMATCH(C219,""W""),IF(C216&lt;0,((-100/C216))*10+C211,((C216/100)*10+C211)),-10+C211))"),26.672760333758028)</f>
        <v>26.67276033</v>
      </c>
      <c r="D224" s="26">
        <f>IFERROR(__xludf.DUMMYFUNCTION("IF(OR(D216="""",D219=""""),"""",IF(REGEXMATCH(D219,""W""),IF(D216&lt;0,((-100/D216))*10+D211,((D216/100)*10+D211)),-10+D211))"),50.49389867673857)</f>
        <v>50.49389868</v>
      </c>
      <c r="E224" s="26">
        <f>IFERROR(__xludf.DUMMYFUNCTION("IF(OR(E216="""",E219=""""),"""",IF(REGEXMATCH(E219,""W""),IF(E216&lt;0,((-100/E216))*10+E211,((E216/100)*10+E211)),-10+E211))"),0.18108153477853328)</f>
        <v>0.1810815348</v>
      </c>
      <c r="F224" s="26">
        <f>IFERROR(__xludf.DUMMYFUNCTION("IF(OR(F216="""",F219=""""),"""",IF(REGEXMATCH(F219,""W""),IF(F216&lt;0,((-100/F216))*10+F211,((F216/100)*10+F211)),-10+F211))"),7.1735255471071895)</f>
        <v>7.173525547</v>
      </c>
      <c r="G224" s="26">
        <f>IFERROR(__xludf.DUMMYFUNCTION("IF(OR(G216="""",G219=""""),"""",IF(REGEXMATCH(G219,""W""),IF(G216&lt;0,((-100/G216))*10+G211,((G216/100)*10+G211)),-10+G211))"),-5.327401216752399)</f>
        <v>-5.327401217</v>
      </c>
      <c r="H224" s="26">
        <f>IFERROR(__xludf.DUMMYFUNCTION("IF(OR(H216="""",H219=""""),"""",IF(REGEXMATCH(H219,""W""),IF(H216&lt;0,((-100/H216))*10+H211,((H216/100)*10+H211)),-10+H211))"),32.06366816321379)</f>
        <v>32.06366816</v>
      </c>
      <c r="I224" s="26">
        <f>IFERROR(__xludf.DUMMYFUNCTION("IF(OR(I216="""",I219=""""),"""",IF(REGEXMATCH(I219,""W""),IF(I216&lt;0,((-100/I216))*10+I211,((I216/100)*10+I211)),-10+I211))"),-73.76474079197914)</f>
        <v>-73.76474079</v>
      </c>
      <c r="J224" s="26">
        <f>IFERROR(__xludf.DUMMYFUNCTION("IF(OR(J216="""",J219=""""),"""",IF(REGEXMATCH(J219,""W""),IF(J216&lt;0,((-100/J216))*10+J211,((J216/100)*10+J211)),-10+J211))"),12.65945885228803)</f>
        <v>12.65945885</v>
      </c>
      <c r="K224" s="26">
        <f>IFERROR(__xludf.DUMMYFUNCTION("IF(OR(K216="""",K219=""""),"""",IF(REGEXMATCH(K219,""W""),IF(K216&lt;0,((-100/K216))*10+K211,((K216/100)*10+K211)),-10+K211))"),-21.77244804459004)</f>
        <v>-21.77244804</v>
      </c>
      <c r="L224" s="26">
        <f>IFERROR(__xludf.DUMMYFUNCTION("IF(OR(L216="""",L219=""""),"""",IF(REGEXMATCH(L219,""W""),IF(L216&lt;0,((-100/L216))*10+L211,((L216/100)*10+L211)),-10+L211))"),46.648776056345284)</f>
        <v>46.64877606</v>
      </c>
      <c r="M224" s="14"/>
      <c r="N224" s="16" t="s">
        <v>89</v>
      </c>
      <c r="O224" s="10">
        <f>IFERROR(__xludf.DUMMYFUNCTION("IF(AND(C224="""",AND(D224="""",AND(E224="""",AND(F224="""",AND(G224="""",AND(H224="""",AND(I224="""",AND(J224="""",AND(K224="""",L224=""""))))))))),"""",(IF(C219="""",0,IF(REGEXMATCH(C219,""W""),IF(C216&lt;0,((-100/C216))*10,((C216/100)*10)),-10))+IF(D219="""&amp;""",0,IF(REGEXMATCH(D219,""W""),IF(D216&lt;0,((-100/D216))*10,((D216/100)*10)),-10))+IF(E219="""",0,IF(REGEXMATCH(E219,""W""),IF(E216&lt;0,((-100/E216))*10,((E216/100)*10)),-10))+IF(F219="""",0,IF(REGEXMATCH(F219,""W""),IF(F216&lt;0,((-100/F216))*10,((F216/100)*10)"&amp;"),-10))+IF(G219="""",0,IF(REGEXMATCH(G219,""W""),IF(G216&lt;0,((-100/G216))*10,((G216/100)*10)),-10))+IF(H219="""",0,IF(REGEXMATCH(H219,""W""),IF(H216&lt;0,((-100/H216))*10,((H216/100)*10)),-10))+IF(I219="""",0,IF(REGEXMATCH(I219,""W""),IF(I216&lt;0,((-100/I216))*"&amp;"10,((I216/100)*10)),-10))+IF(J219="""",0,IF(REGEXMATCH(J219,""W""),IF(J216&lt;0,((-100/J216))*10,((J216/100)*10)),-10))+IF(K219="""",0,IF(REGEXMATCH(K219,""W""),IF(K216&lt;0,((-100/K216))*10,((K216/100)*10)),-10))+IF(L219="""",0,IF(REGEXMATCH(L219,""W""),IF(L21"&amp;"6&lt;0,((-100/L216))*10,((L216/100)*10)),-10))))"),22.606127258187414)</f>
        <v>22.60612726</v>
      </c>
      <c r="P224" s="10">
        <f>IFERROR(__xludf.DUMMYFUNCTION("IF(AND(C224="""",AND(D224="""",AND(E224="""",AND(F224="""",AND(G224="""",AND(H224="""",AND(I224="""",AND(J224="""",AND(K224="""",L224=""""))))))))),"""",(P211+IF(C219="""",0,IF(REGEXMATCH(C219,""W""),IF(C216&lt;0,((-100/C216))*10,((C216/100)*10)),-10))+IF(D2"&amp;"19="""",0,IF(REGEXMATCH(D219,""W""),IF(D216&lt;0,((-100/D216))*10,((D216/100)*10)),-10))+IF(E219="""",0,IF(REGEXMATCH(E219,""W""),IF(E216&lt;0,((-100/E216))*10,((E216/100)*10)),-10))+IF(F219="""",0,IF(REGEXMATCH(F219,""W""),IF(F216&lt;0,((-100/F216))*10,((F216/100"&amp;")*10)),-10))+IF(G219="""",0,IF(REGEXMATCH(G219,""W""),IF(G216&lt;0,((-100/G216))*10,((G216/100)*10)),-10))+IF(H219="""",0,IF(REGEXMATCH(H219,""W""),IF(H216&lt;0,((-100/H216))*10,((H216/100)*10)),-10))+IF(I219="""",0,IF(REGEXMATCH(I219,""W""),IF(I216&lt;0,((-100/I2"&amp;"16))*10,((I216/100)*10)),-10))+IF(J219="""",0,IF(REGEXMATCH(J219,""W""),IF(J216&lt;0,((-100/J216))*10,((J216/100)*10)),-10))+IF(K219="""",0,IF(REGEXMATCH(K219,""W""),IF(K216&lt;0,((-100/K216))*10,((K216/100)*10)),-10))+IF(L219="""",0,IF(REGEXMATCH(L219,""W""),I"&amp;"F(L216&lt;0,((-100/L216))*10,((L216/100)*10)),-10))))"),75.02857911090776)</f>
        <v>75.02857911</v>
      </c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 ht="16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 ht="16.5" customHeight="1">
      <c r="A226" s="1" t="s">
        <v>90</v>
      </c>
      <c r="B226" s="2"/>
      <c r="C226" s="3" t="s">
        <v>1</v>
      </c>
      <c r="D226" s="3" t="s">
        <v>2</v>
      </c>
      <c r="E226" s="3" t="s">
        <v>3</v>
      </c>
      <c r="F226" s="3" t="s">
        <v>4</v>
      </c>
      <c r="G226" s="3" t="s">
        <v>5</v>
      </c>
      <c r="H226" s="3" t="s">
        <v>6</v>
      </c>
      <c r="I226" s="3" t="s">
        <v>7</v>
      </c>
      <c r="J226" s="3" t="s">
        <v>8</v>
      </c>
      <c r="K226" s="3" t="s">
        <v>9</v>
      </c>
      <c r="L226" s="3" t="s">
        <v>10</v>
      </c>
      <c r="M226" s="2"/>
      <c r="N226" s="4"/>
      <c r="O226" s="3" t="s">
        <v>11</v>
      </c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 ht="16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 ht="16.5" customHeight="1">
      <c r="A228" s="3" t="s">
        <v>12</v>
      </c>
      <c r="B228" s="2"/>
      <c r="C228" s="12" t="str">
        <f>'2025'!C81</f>
        <v>Patriots -6.5</v>
      </c>
      <c r="D228" s="12" t="str">
        <f>'2025'!D81</f>
        <v>Browns -2.5</v>
      </c>
      <c r="E228" s="12" t="str">
        <f>'2025'!E81</f>
        <v>Eagles Moneyline</v>
      </c>
      <c r="F228" s="12" t="str">
        <f>'2025'!F81</f>
        <v>Colts Moneyline</v>
      </c>
      <c r="G228" s="12" t="str">
        <f>'2025'!G81</f>
        <v>R. Rice Any Touchdown</v>
      </c>
      <c r="H228" s="12" t="str">
        <f>'2025'!H81</f>
        <v>Falcons Moneyline</v>
      </c>
      <c r="I228" s="12" t="str">
        <f>'2025'!I81</f>
        <v>Cowboys Moneyline</v>
      </c>
      <c r="J228" s="12" t="str">
        <f>'2025'!J81</f>
        <v>Under 48.5</v>
      </c>
      <c r="K228" s="12" t="str">
        <f>'2025'!K81</f>
        <v>R. Dowdle Long Rush Over 13.5 Yards</v>
      </c>
      <c r="L228" s="12" t="str">
        <f>'2025'!L81</f>
        <v>Buccaneers +6.5</v>
      </c>
      <c r="M228" s="2"/>
      <c r="N228" s="3" t="s">
        <v>13</v>
      </c>
      <c r="O228" s="7">
        <f>IF(AND(C229="",AND(D229="",AND(E229="",AND(F229="",AND(G229="",AND(H229="",AND(I229="",AND(J229="",AND(K229="",L229=""))))))))),"",IF(((IF(C229="",1,IF(C229&gt;0,(C229/100)+1,(100/((-1)*C229))+1)))*(IF(D229="",1,IF(D229&gt;0,(D229/100)+1,(100/((-1)*D229))+1)))*(IF(E229="",1,IF(E229&gt;0,(E229/100)+1,(100/((-1)*E229))+1)))*(IF(F229="",1,IF(F229&gt;0,(F229/100)+1,(100/((-1)*F229))+1)))*(IF(G229="",1,IF(G229&gt;0,(G229/100)+1,(100/((-1)*G229))+1)))*(IF(H229="",1,IF(H229&gt;0,(H229/100)+1,(100/((-1)*H229))+1)))*(IF(I229="",1,IF(I229&gt;0,(I229/100)+1,(100/((-1)*I229))+1)))*(IF(J229="",1,IF(J229&gt;0,(J229/100)+1,(100/((-1)*J229))+1)))*(IF(K229="",1,IF(K229&gt;0,(K229/100)+1,(100/((-1)*K229))+1)))*(IF(L229="",1,IF(L229&gt;0,(L229/100)+1,(100/((-1)*L229))+1))))&lt;2,((-100)/(((IF(C229="",1,IF(C229&gt;0,(C229/100)+1,(100/((-1)*C229))+1)))*(IF(D229="",1,IF(D229&gt;0,(D229/100)+1,(100/((-1)*D229))+1)))*(IF(E229="",1,IF(E229&gt;0,(E229/100)+1,(100/((-1)*E229))+1)))*(IF(F229="",1,IF(F229&gt;0,(F229/100)+1,(100/((-1)*F229))+1)))*(IF(G229="",1,IF(G229&gt;0,(G229/100)+1,(100/((-1)*G229))+1)))*(IF(H229="",1,IF(H229&gt;0,(H229/100)+1,(100/((-1)*H229))+1)))*(IF(I229="",1,IF(I229&gt;0,(I229/100)+1,(100/((-1)*I229))+1)))*(IF(J229="",1,IF(J229&gt;0,(J229/100)+1,(100/((-1)*J229))+1)))*(IF(K229="",1,IF(K229&gt;0,(K229/100)+1,(100/((-1)*K229))+1)))*(IF(L229="",1,IF(L229&gt;0,(L229/100)+1,(100/((-1)*L229))+1))))-1)),((((IF(C229="",1,IF(C229&gt;0,(C229/100)+1,(100/((-1)*C229))+1)))*(IF(D229="",1,IF(D229&gt;0,(D229/100)+1,(100/((-1)*D229))+1)))*(IF(E229="",1,IF(E229&gt;0,(E229/100)+1,(100/((-1)*E229))+1)))*(IF(F229="",1,IF(F229&gt;0,(F229/100)+1,(100/((-1)*F229))+1)))*(IF(G229="",1,IF(G229&gt;0,(G229/100)+1,(100/((-1)*G229))+1)))*(IF(H229="",1,IF(H229&gt;0,(H229/100)+1,(100/((-1)*H229))+1)))*(IF(I229="",1,IF(I229&gt;0,(I229/100)+1,(100/((-1)*I229))+1)))*(IF(J229="",1,IF(J229&gt;0,(J229/100)+1,(100/((-1)*J229))+1)))*(IF(K229="",1,IF(K229&gt;0,(K229/100)+1,(100/((-1)*K229))+1)))*(IF(L229="",1,IF(L229&gt;0,(L229/100)+1,(100/((-1)*L229))+1))))-1)*(100))))</f>
        <v>56334.60782</v>
      </c>
      <c r="P228" s="4"/>
      <c r="Q228" s="8" t="s">
        <v>35</v>
      </c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 ht="16.5" customHeight="1">
      <c r="A229" s="3" t="s">
        <v>13</v>
      </c>
      <c r="B229" s="2"/>
      <c r="C229" s="18">
        <f>'2025'!C82</f>
        <v>-112</v>
      </c>
      <c r="D229" s="18">
        <f>'2025'!D82</f>
        <v>-125</v>
      </c>
      <c r="E229" s="18">
        <f>'2025'!E82</f>
        <v>-135</v>
      </c>
      <c r="F229" s="18">
        <f>'2025'!F82</f>
        <v>115</v>
      </c>
      <c r="G229" s="18">
        <f>'2025'!G82</f>
        <v>-101</v>
      </c>
      <c r="H229" s="18">
        <f>'2025'!H82</f>
        <v>118</v>
      </c>
      <c r="I229" s="18">
        <f>'2025'!I82</f>
        <v>-130</v>
      </c>
      <c r="J229" s="18">
        <f>'2025'!J82</f>
        <v>-159</v>
      </c>
      <c r="K229" s="18">
        <f>'2025'!K82</f>
        <v>-123</v>
      </c>
      <c r="L229" s="18">
        <f>'2025'!L82</f>
        <v>-105</v>
      </c>
      <c r="M229" s="2">
        <v>7.0</v>
      </c>
      <c r="N229" s="3" t="s">
        <v>36</v>
      </c>
      <c r="O229" s="10">
        <f>IF(AND(C229="",AND(D229="",AND(E229="",AND(F229="",AND(G229="",AND(H229="",AND(I229="",AND(J229="",AND(K229="",L229=""))))))))),"",10+IF((IF(((IF(C229="",1,IF(C229&gt;0,(C229/100)+1,(100/((-1)*C229))+1)))*(IF(D229="",1,IF(D229&gt;0,(D229/100)+1,(100/((-1)*D229))+1)))*(IF(E229="",1,IF(E229&gt;0,(E229/100)+1,(100/((-1)*E229))+1)))*(IF(F229="",1,IF(F229&gt;0,(F229/100)+1,(100/((-1)*F229))+1)))*(IF(G229="",1,IF(G229&gt;0,(G229/100)+1,(100/((-1)*G229))+1)))*(IF(H229="",1,IF(H229&gt;0,(H229/100)+1,(100/((-1)*H229))+1)))*(IF(I229="",1,IF(I229&gt;0,(I229/100)+1,(100/((-1)*I229))+1)))*(IF(J229="",1,IF(J229&gt;0,(J229/100)+1,(100/((-1)*J229))+1)))*(IF(K229="",1,IF(K229&gt;0,(K229/100)+1,(100/((-1)*K229))+1)))*(IF(L229="",1,IF(L229&gt;0,(L229/100)+1,(100/((-1)*L229))+1))))&lt;2,((-100)/(((IF(C229="",1,IF(C229&gt;0,(C229/100)+1,(100/((-1)*C229))+1)))*(IF(D229="",1,IF(D229&gt;0,(D229/100)+1,(100/((-1)*D229))+1)))*(IF(E229="",1,IF(E229&gt;0,(E229/100)+1,(100/((-1)*E229))+1)))*(IF(F229="",1,IF(F229&gt;0,(F229/100)+1,(100/((-1)*F229))+1)))*(IF(G229="",1,IF(G229&gt;0,(G229/100)+1,(100/((-1)*G229))+1)))*(IF(H229="",1,IF(H229&gt;0,(H229/100)+1,(100/((-1)*H229))+1)))*(IF(I229="",1,IF(I229&gt;0,(I229/100)+1,(100/((-1)*I229))+1)))*(IF(J229="",1,IF(J229&gt;0,(J229/100)+1,(100/((-1)*J229))+1)))*(IF(K229="",1,IF(K229&gt;0,(K229/100)+1,(100/((-1)*K229))+1)))*(IF(L229="",1,IF(L229&gt;0,(L229/100)+1,(100/((-1)*L229))+1))))-1)),((((IF(C229="",1,IF(C229&gt;0,(C229/100)+1,(100/((-1)*C229))+1)))*(IF(D229="",1,IF(D229&gt;0,(D229/100)+1,(100/((-1)*D229))+1)))*(IF(E229="",1,IF(E229&gt;0,(E229/100)+1,(100/((-1)*E229))+1)))*(IF(F229="",1,IF(F229&gt;0,(F229/100)+1,(100/((-1)*F229))+1)))*(IF(G229="",1,IF(G229&gt;0,(G229/100)+1,(100/((-1)*G229))+1)))*(IF(H229="",1,IF(H229&gt;0,(H229/100)+1,(100/((-1)*H229))+1)))*(IF(I229="",1,IF(I229&gt;0,(I229/100)+1,(100/((-1)*I229))+1)))*(IF(J229="",1,IF(J229&gt;0,(J229/100)+1,(100/((-1)*J229))+1)))*(IF(K229="",1,IF(K229&gt;0,(K229/100)+1,(100/((-1)*K229))+1)))*(IF(L229="",1,IF(L229&gt;0,(L229/100)+1,(100/((-1)*L229))+1))))-1)*(100))))&lt;0,(((-100)/((IF(((IF(C229="",1,IF(C229&gt;0,(C229/100)+1,(100/((-1)*C229))+1)))*(IF(D229="",1,IF(D229&gt;0,(D229/100)+1,(100/((-1)*D229))+1)))*(IF(E229="",1,IF(E229&gt;0,(E229/100)+1,(100/((-1)*E229))+1)))*(IF(F229="",1,IF(F229&gt;0,(F229/100)+1,(100/((-1)*F229))+1)))*(IF(G229="",1,IF(G229&gt;0,(G229/100)+1,(100/((-1)*G229))+1)))*(IF(H229="",1,IF(H229&gt;0,(H229/100)+1,(100/((-1)*H229))+1)))*(IF(I229="",1,IF(I229&gt;0,(I229/100)+1,(100/((-1)*I229))+1)))*(IF(J229="",1,IF(J229&gt;0,(J229/100)+1,(100/((-1)*J229))+1)))*(IF(K229="",1,IF(K229&gt;0,(K229/100)+1,(100/((-1)*K229))+1)))*(IF(L229="",1,IF(L229&gt;0,(L229/100)+1,(100/((-1)*L229))+1))))&lt;2,((-100)/(((IF(C229="",1,IF(C229&gt;0,(C229/100)+1,(100/((-1)*C229))+1)))*(IF(D229="",1,IF(D229&gt;0,(D229/100)+1,(100/((-1)*D229))+1)))*(IF(E229="",1,IF(E229&gt;0,(E229/100)+1,(100/((-1)*E229))+1)))*(IF(F229="",1,IF(F229&gt;0,(F229/100)+1,(100/((-1)*F229))+1)))*(IF(G229="",1,IF(G229&gt;0,(G229/100)+1,(100/((-1)*G229))+1)))*(IF(H229="",1,IF(H229&gt;0,(H229/100)+1,(100/((-1)*H229))+1)))*(IF(I229="",1,IF(I229&gt;0,(I229/100)+1,(100/((-1)*I229))+1)))*(IF(J229="",1,IF(J229&gt;0,(J229/100)+1,(100/((-1)*J229))+1)))*(IF(K229="",1,IF(K229&gt;0,(K229/100)+1,(100/((-1)*K229))+1)))*(IF(L229="",1,IF(L229&gt;0,(L229/100)+1,(100/((-1)*L229))+1))))-1)),((((IF(C229="",1,IF(C229&gt;0,(C229/100)+1,(100/((-1)*C229))+1)))*(IF(D229="",1,IF(D229&gt;0,(D229/100)+1,(100/((-1)*D229))+1)))*(IF(E229="",1,IF(E229&gt;0,(E229/100)+1,(100/((-1)*E229))+1)))*(IF(F229="",1,IF(F229&gt;0,(F229/100)+1,(100/((-1)*F229))+1)))*(IF(G229="",1,IF(G229&gt;0,(G229/100)+1,(100/((-1)*G229))+1)))*(IF(H229="",1,IF(H229&gt;0,(H229/100)+1,(100/((-1)*H229))+1)))*(IF(I229="",1,IF(I229&gt;0,(I229/100)+1,(100/((-1)*I229))+1)))*(IF(J229="",1,IF(J229&gt;0,(J229/100)+1,(100/((-1)*J229))+1)))*(IF(K229="",1,IF(K229&gt;0,(K229/100)+1,(100/((-1)*K229))+1)))*(IF(L229="",1,IF(L229&gt;0,(L229/100)+1,(100/((-1)*L229))+1))))-1)*(100))))))*10),(((IF(((IF(C229="",1,IF(C229&gt;0,(C229/100)+1,(100/((-1)*C229))+1)))*(IF(D229="",1,IF(D229&gt;0,(D229/100)+1,(100/((-1)*D229))+1)))*(IF(E229="",1,IF(E229&gt;0,(E229/100)+1,(100/((-1)*E229))+1)))*(IF(F229="",1,IF(F229&gt;0,(F229/100)+1,(100/((-1)*F229))+1)))*(IF(G229="",1,IF(G229&gt;0,(G229/100)+1,(100/((-1)*G229))+1)))*(IF(H229="",1,IF(H229&gt;0,(H229/100)+1,(100/((-1)*H229))+1)))*(IF(I229="",1,IF(I229&gt;0,(I229/100)+1,(100/((-1)*I229))+1)))*(IF(J229="",1,IF(J229&gt;0,(J229/100)+1,(100/((-1)*J229))+1)))*(IF(K229="",1,IF(K229&gt;0,(K229/100)+1,(100/((-1)*K229))+1)))*(IF(L229="",1,IF(L229&gt;0,(L229/100)+1,(100/((-1)*L229))+1))))&lt;2,((-100)/(((IF(C229="",1,IF(C229&gt;0,(C229/100)+1,(100/((-1)*C229))+1)))*(IF(D229="",1,IF(D229&gt;0,(D229/100)+1,(100/((-1)*D229))+1)))*(IF(E229="",1,IF(E229&gt;0,(E229/100)+1,(100/((-1)*E229))+1)))*(IF(F229="",1,IF(F229&gt;0,(F229/100)+1,(100/((-1)*F229))+1)))*(IF(G229="",1,IF(G229&gt;0,(G229/100)+1,(100/((-1)*G229))+1)))*(IF(H229="",1,IF(H229&gt;0,(H229/100)+1,(100/((-1)*H229))+1)))*(IF(I229="",1,IF(I229&gt;0,(I229/100)+1,(100/((-1)*I229))+1)))*(IF(J229="",1,IF(J229&gt;0,(J229/100)+1,(100/((-1)*J229))+1)))*(IF(K229="",1,IF(K229&gt;0,(K229/100)+1,(100/((-1)*K229))+1)))*(IF(L229="",1,IF(L229&gt;0,(L229/100)+1,(100/((-1)*L229))+1))))-1)),((((IF(C229="",1,IF(C229&gt;0,(C229/100)+1,(100/((-1)*C229))+1)))*(IF(D229="",1,IF(D229&gt;0,(D229/100)+1,(100/((-1)*D229))+1)))*(IF(E229="",1,IF(E229&gt;0,(E229/100)+1,(100/((-1)*E229))+1)))*(IF(F229="",1,IF(F229&gt;0,(F229/100)+1,(100/((-1)*F229))+1)))*(IF(G229="",1,IF(G229&gt;0,(G229/100)+1,(100/((-1)*G229))+1)))*(IF(H229="",1,IF(H229&gt;0,(H229/100)+1,(100/((-1)*H229))+1)))*(IF(I229="",1,IF(I229&gt;0,(I229/100)+1,(100/((-1)*I229))+1)))*(IF(J229="",1,IF(J229&gt;0,(J229/100)+1,(100/((-1)*J229))+1)))*(IF(K229="",1,IF(K229&gt;0,(K229/100)+1,(100/((-1)*K229))+1)))*(IF(L229="",1,IF(L229&gt;0,(L229/100)+1,(100/((-1)*L229))+1))))-1)*(100))))/100)*10)))</f>
        <v>5643.460782</v>
      </c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 ht="16.5" customHeight="1">
      <c r="A230" s="3" t="s">
        <v>37</v>
      </c>
      <c r="B230" s="2"/>
      <c r="C230" s="18" t="str">
        <f>'2025'!C83</f>
        <v>Patriots @ Titans</v>
      </c>
      <c r="D230" s="18" t="str">
        <f>'2025'!D83</f>
        <v>Dolphins @ Browns</v>
      </c>
      <c r="E230" s="18" t="str">
        <f>'2025'!E83</f>
        <v>Eagles @ Vikings</v>
      </c>
      <c r="F230" s="18" t="str">
        <f>'2025'!F83</f>
        <v>Colts @ Chargers</v>
      </c>
      <c r="G230" s="18" t="str">
        <f>'2025'!G83</f>
        <v>Raiders @ Chiefs</v>
      </c>
      <c r="H230" s="18" t="str">
        <f>'2025'!H83</f>
        <v>Falcons @ 49ers</v>
      </c>
      <c r="I230" s="18" t="str">
        <f>'2025'!I83</f>
        <v>Commanders @ Cowboys</v>
      </c>
      <c r="J230" s="18" t="str">
        <f>'2025'!J83</f>
        <v>Saints @ Bears</v>
      </c>
      <c r="K230" s="18" t="str">
        <f>'2025'!K83</f>
        <v>Panthers @ Jets</v>
      </c>
      <c r="L230" s="18" t="str">
        <f>'2025'!L83</f>
        <v>Buccaneers @ Lions</v>
      </c>
      <c r="M230" s="2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 ht="16.5" customHeight="1">
      <c r="A231" s="3" t="s">
        <v>48</v>
      </c>
      <c r="B231" s="2"/>
      <c r="C231" s="18" t="str">
        <f>'2025'!C84</f>
        <v>31-13</v>
      </c>
      <c r="D231" s="18" t="str">
        <f>'2025'!D84</f>
        <v>6-31</v>
      </c>
      <c r="E231" s="18" t="str">
        <f>'2025'!E84</f>
        <v>28-22</v>
      </c>
      <c r="F231" s="18" t="str">
        <f>'2025'!F84</f>
        <v>38-24</v>
      </c>
      <c r="G231" s="18" t="str">
        <f>'2025'!G84</f>
        <v>2 Touchdowns</v>
      </c>
      <c r="H231" s="32">
        <f>'2025'!H84</f>
        <v>45950</v>
      </c>
      <c r="I231" s="18" t="str">
        <f>'2025'!I84</f>
        <v>22-44</v>
      </c>
      <c r="J231" s="18" t="str">
        <f>'2025'!J84</f>
        <v>14-26</v>
      </c>
      <c r="K231" s="18" t="str">
        <f>'2025'!K84</f>
        <v>Long Rush 13 Yards</v>
      </c>
      <c r="L231" s="32">
        <f>'2025'!L84</f>
        <v>45924</v>
      </c>
      <c r="M231" s="2"/>
      <c r="N231" s="4"/>
      <c r="O231" s="3" t="s">
        <v>56</v>
      </c>
      <c r="P231" s="3" t="s">
        <v>57</v>
      </c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 ht="16.5" customHeight="1">
      <c r="A232" s="3" t="s">
        <v>59</v>
      </c>
      <c r="B232" s="2"/>
      <c r="C232" s="18" t="str">
        <f>'2025'!C85</f>
        <v>W</v>
      </c>
      <c r="D232" s="18" t="str">
        <f>'2025'!D85</f>
        <v>W</v>
      </c>
      <c r="E232" s="18" t="str">
        <f>'2025'!E85</f>
        <v>W</v>
      </c>
      <c r="F232" s="18" t="str">
        <f>'2025'!F85</f>
        <v>W</v>
      </c>
      <c r="G232" s="18" t="str">
        <f>'2025'!G85</f>
        <v>W</v>
      </c>
      <c r="H232" s="18" t="str">
        <f>'2025'!H85</f>
        <v>L</v>
      </c>
      <c r="I232" s="18" t="str">
        <f>'2025'!I85</f>
        <v>W</v>
      </c>
      <c r="J232" s="18" t="str">
        <f>'2025'!J85</f>
        <v>W</v>
      </c>
      <c r="K232" s="18" t="str">
        <f>'2025'!K85</f>
        <v>L</v>
      </c>
      <c r="L232" s="18" t="str">
        <f>'2025'!L85</f>
        <v>L</v>
      </c>
      <c r="M232" s="2"/>
      <c r="N232" s="3" t="s">
        <v>65</v>
      </c>
      <c r="O232" s="12" t="str">
        <f>IFERROR(__xludf.DUMMYFUNCTION("IF(OR(COUNTA(C229:L229) = 0, COUNTA(C232:L232) = 0), """", IFERROR(TEXTJOIN("", "", TRUE, FILTER(C226:L226, (C232:L232 = ""W"") * (C229:L229 = MAX(FILTER(C229:L229, C232:L232 = ""W""))))), """"))"),"Dan")</f>
        <v>Dan</v>
      </c>
      <c r="P232" s="12" t="str">
        <f>IFERROR(__xludf.DUMMYFUNCTION("IF(COUNTA(C237:L237) = 0, """", IFERROR(TEXTJOIN("", "", TRUE, FILTER(C226:L226, C237:L237 = MAX(C237:L237))), """"))"),"Carson")</f>
        <v>Carson</v>
      </c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 ht="16.5" customHeight="1">
      <c r="A233" s="1" t="s">
        <v>81</v>
      </c>
      <c r="B233" s="2"/>
      <c r="C233" s="4">
        <f t="shared" ref="C233:L233" si="69">IF(OR(C229="",C232=""),"",C220+COUNTIF(C232,"W"))</f>
        <v>12</v>
      </c>
      <c r="D233" s="4">
        <f t="shared" si="69"/>
        <v>14</v>
      </c>
      <c r="E233" s="4">
        <f t="shared" si="69"/>
        <v>10</v>
      </c>
      <c r="F233" s="4">
        <f t="shared" si="69"/>
        <v>11</v>
      </c>
      <c r="G233" s="4">
        <f t="shared" si="69"/>
        <v>10</v>
      </c>
      <c r="H233" s="4">
        <f t="shared" si="69"/>
        <v>10</v>
      </c>
      <c r="I233" s="4">
        <f t="shared" si="69"/>
        <v>7</v>
      </c>
      <c r="J233" s="4">
        <f t="shared" si="69"/>
        <v>11</v>
      </c>
      <c r="K233" s="4">
        <f t="shared" si="69"/>
        <v>8</v>
      </c>
      <c r="L233" s="4">
        <f t="shared" si="69"/>
        <v>11</v>
      </c>
      <c r="M233" s="2"/>
      <c r="N233" s="3" t="s">
        <v>82</v>
      </c>
      <c r="O233" s="4" t="str">
        <f>IFERROR(__xludf.DUMMYFUNCTION("IF(OR(COUNTA(C229:L229) = 0, COUNTA(C232:L232) = 0), """", IFERROR(TEXTJOIN("", "", TRUE, FILTER(C226:L226, (C232:L232 = ""L"") * (C229:L229 = MIN(FILTER(C229:L229, C232:L232 = ""L""))))), """"))"),"Taylon")</f>
        <v>Taylon</v>
      </c>
      <c r="P233" s="12" t="str">
        <f>IFERROR(__xludf.DUMMYFUNCTION("IF(COUNTA(C237:L237) = 0, """", IFERROR(TEXTJOIN("", "", TRUE, FILTER(C226:L226, C237:L237 = MIN(C237:L237))), """"))"),"Nick")</f>
        <v>Nick</v>
      </c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 ht="16.5" customHeight="1">
      <c r="A234" s="1" t="s">
        <v>83</v>
      </c>
      <c r="B234" s="2"/>
      <c r="C234" s="27">
        <f t="shared" ref="C234:L234" si="70">IF(OR(C229="",C232=""),"",C221+COUNTIF(C232,"L"))</f>
        <v>6</v>
      </c>
      <c r="D234" s="27">
        <f t="shared" si="70"/>
        <v>4</v>
      </c>
      <c r="E234" s="27">
        <f t="shared" si="70"/>
        <v>8</v>
      </c>
      <c r="F234" s="27">
        <f t="shared" si="70"/>
        <v>7</v>
      </c>
      <c r="G234" s="27">
        <f t="shared" si="70"/>
        <v>8</v>
      </c>
      <c r="H234" s="27">
        <f t="shared" si="70"/>
        <v>8</v>
      </c>
      <c r="I234" s="27">
        <f t="shared" si="70"/>
        <v>11</v>
      </c>
      <c r="J234" s="27">
        <f t="shared" si="70"/>
        <v>7</v>
      </c>
      <c r="K234" s="27">
        <f t="shared" si="70"/>
        <v>10</v>
      </c>
      <c r="L234" s="27">
        <f t="shared" si="70"/>
        <v>7</v>
      </c>
      <c r="M234" s="2"/>
      <c r="N234" s="3" t="s">
        <v>84</v>
      </c>
      <c r="O234" s="12" t="str">
        <f>IFERROR(__xludf.DUMMYFUNCTION("IF(COUNTA(C229:L229) = 0, """", IFERROR(TEXTJOIN("", "", TRUE, FILTER(C226:L226, C229:L229 = MAX(C229:L229))), """"))"),"Jake")</f>
        <v>Jake</v>
      </c>
      <c r="P234" s="4" t="str">
        <f>IFERROR(__xludf.DUMMYFUNCTION("IF(COUNTA(C229:L229) = 0, """", IFERROR(TEXTJOIN("", "", TRUE, FILTER(C226:L226, C236:L236 = MAX(C236:L236))), """"))"),"Jake")</f>
        <v>Jake</v>
      </c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 ht="16.5" customHeight="1">
      <c r="A235" s="3" t="s">
        <v>85</v>
      </c>
      <c r="B235" s="2"/>
      <c r="C235" s="24">
        <f t="shared" ref="C235:L235" si="71">IF(OR(C229="",C232=""),"",(C233/(C233+C234)))</f>
        <v>0.6666666667</v>
      </c>
      <c r="D235" s="24">
        <f t="shared" si="71"/>
        <v>0.7777777778</v>
      </c>
      <c r="E235" s="24">
        <f t="shared" si="71"/>
        <v>0.5555555556</v>
      </c>
      <c r="F235" s="24">
        <f t="shared" si="71"/>
        <v>0.6111111111</v>
      </c>
      <c r="G235" s="24">
        <f t="shared" si="71"/>
        <v>0.5555555556</v>
      </c>
      <c r="H235" s="24">
        <f t="shared" si="71"/>
        <v>0.5555555556</v>
      </c>
      <c r="I235" s="24">
        <f t="shared" si="71"/>
        <v>0.3888888889</v>
      </c>
      <c r="J235" s="24">
        <f t="shared" si="71"/>
        <v>0.6111111111</v>
      </c>
      <c r="K235" s="24">
        <f t="shared" si="71"/>
        <v>0.4444444444</v>
      </c>
      <c r="L235" s="24">
        <f t="shared" si="71"/>
        <v>0.6111111111</v>
      </c>
      <c r="M235" s="14"/>
      <c r="N235" s="3" t="s">
        <v>86</v>
      </c>
      <c r="O235" s="4" t="str">
        <f>IFERROR(__xludf.DUMMYFUNCTION("IF(COUNTA(C229:L229) = 0, """", IFERROR(TEXTJOIN("", "", TRUE, FILTER(C226:L226, C229:L229 = MIN(C229:L229))), """"))"),"Tanner")</f>
        <v>Tanner</v>
      </c>
      <c r="P235" s="4" t="str">
        <f>IFERROR(__xludf.DUMMYFUNCTION("IF(COUNTA(C229:L229) = 0, """", IFERROR(TEXTJOIN("", "", TRUE, FILTER(C226:L226, C236:L236 = MIN(C236:L236))), """"))"),"Carson")</f>
        <v>Carson</v>
      </c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 ht="16.5" customHeight="1">
      <c r="A236" s="3" t="s">
        <v>87</v>
      </c>
      <c r="B236" s="2"/>
      <c r="C236" s="25">
        <f t="shared" ref="C236:L236" si="72">IF(C229="","",IF(((IF(C229 &lt;0,((-100/C229)+1),((C229/100)+1))+(IF(C223&lt;0,((-100/C223)+1),((C223/100)+1)))*(C220+C221))/(C220+C221+1))&lt;2,(-100/(((IF(C229 &lt;0,((-100/C229)+1),((C229/100)+1))+(IF(C223&lt;0,((-100/C223)+1),((C223/100)+1)))*(C220+C221))/(C220+C221+1))-1)),(((IF(C229 &lt;0,((-100/C229)+1),((C229/100)+1))+(IF(C223&lt;0,((-100/C223)+1),((C223/100)+1)))*(C220+C221))/(C220+C221+1))-1)*100))</f>
        <v>-121.6780428</v>
      </c>
      <c r="D236" s="25">
        <f t="shared" si="72"/>
        <v>-135.6539051</v>
      </c>
      <c r="E236" s="25">
        <f t="shared" si="72"/>
        <v>-116.6810981</v>
      </c>
      <c r="F236" s="25">
        <f t="shared" si="72"/>
        <v>-122.9085241</v>
      </c>
      <c r="G236" s="25">
        <f t="shared" si="72"/>
        <v>-100.6632042</v>
      </c>
      <c r="H236" s="25">
        <f t="shared" si="72"/>
        <v>107.1871824</v>
      </c>
      <c r="I236" s="25">
        <f t="shared" si="72"/>
        <v>-125.1133463</v>
      </c>
      <c r="J236" s="25">
        <f t="shared" si="72"/>
        <v>-119.3498855</v>
      </c>
      <c r="K236" s="25">
        <f t="shared" si="72"/>
        <v>-117.6052426</v>
      </c>
      <c r="L236" s="25">
        <f t="shared" si="72"/>
        <v>-106.4225967</v>
      </c>
      <c r="M236" s="14"/>
      <c r="N236" s="4"/>
      <c r="O236" s="12"/>
      <c r="P236" s="12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 ht="16.5" customHeight="1">
      <c r="A237" s="16" t="s">
        <v>88</v>
      </c>
      <c r="B237" s="2"/>
      <c r="C237" s="26">
        <f>IFERROR(__xludf.DUMMYFUNCTION("IF(OR(C229="""",C232=""""),"""",IF(REGEXMATCH(C232,""W""),IF(C229&lt;0,((-100/C229))*10+C224,((C229/100)*10+C224)),-10+C224))"),35.60133176232946)</f>
        <v>35.60133176</v>
      </c>
      <c r="D237" s="26">
        <f>IFERROR(__xludf.DUMMYFUNCTION("IF(OR(D229="""",D232=""""),"""",IF(REGEXMATCH(D232,""W""),IF(D229&lt;0,((-100/D229))*10+D224,((D229/100)*10+D224)),-10+D224))"),58.49389867673857)</f>
        <v>58.49389868</v>
      </c>
      <c r="E237" s="26">
        <f>IFERROR(__xludf.DUMMYFUNCTION("IF(OR(E229="""",E232=""""),"""",IF(REGEXMATCH(E232,""W""),IF(E229&lt;0,((-100/E229))*10+E224,((E229/100)*10+E224)),-10+E224))"),7.58848894218594)</f>
        <v>7.588488942</v>
      </c>
      <c r="F237" s="26">
        <f>IFERROR(__xludf.DUMMYFUNCTION("IF(OR(F229="""",F232=""""),"""",IF(REGEXMATCH(F232,""W""),IF(F229&lt;0,((-100/F229))*10+F224,((F229/100)*10+F224)),-10+F224))"),18.67352554710719)</f>
        <v>18.67352555</v>
      </c>
      <c r="G237" s="26">
        <f>IFERROR(__xludf.DUMMYFUNCTION("IF(OR(G229="""",G232=""""),"""",IF(REGEXMATCH(G232,""W""),IF(G229&lt;0,((-100/G229))*10+G224,((G229/100)*10+G224)),-10+G224))"),4.573588882257502)</f>
        <v>4.573588882</v>
      </c>
      <c r="H237" s="26">
        <f>IFERROR(__xludf.DUMMYFUNCTION("IF(OR(H229="""",H232=""""),"""",IF(REGEXMATCH(H232,""W""),IF(H229&lt;0,((-100/H229))*10+H224,((H229/100)*10+H224)),-10+H224))"),22.06366816321379)</f>
        <v>22.06366816</v>
      </c>
      <c r="I237" s="26">
        <f>IFERROR(__xludf.DUMMYFUNCTION("IF(OR(I229="""",I232=""""),"""",IF(REGEXMATCH(I232,""W""),IF(I229&lt;0,((-100/I229))*10+I224,((I229/100)*10+I224)),-10+I224))"),-66.07243309967144)</f>
        <v>-66.0724331</v>
      </c>
      <c r="J237" s="26">
        <f>IFERROR(__xludf.DUMMYFUNCTION("IF(OR(J229="""",J232=""""),"""",IF(REGEXMATCH(J232,""W""),IF(J229&lt;0,((-100/J229))*10+J224,((J229/100)*10+J224)),-10+J224))"),18.94876702838866)</f>
        <v>18.94876703</v>
      </c>
      <c r="K237" s="26">
        <f>IFERROR(__xludf.DUMMYFUNCTION("IF(OR(K229="""",K232=""""),"""",IF(REGEXMATCH(K232,""W""),IF(K229&lt;0,((-100/K229))*10+K224,((K229/100)*10+K224)),-10+K224))"),-31.77244804459004)</f>
        <v>-31.77244804</v>
      </c>
      <c r="L237" s="26">
        <f>IFERROR(__xludf.DUMMYFUNCTION("IF(OR(L229="""",L232=""""),"""",IF(REGEXMATCH(L232,""W""),IF(L229&lt;0,((-100/L229))*10+L224,((L229/100)*10+L224)),-10+L224))"),36.648776056345284)</f>
        <v>36.64877606</v>
      </c>
      <c r="M237" s="14"/>
      <c r="N237" s="16" t="s">
        <v>89</v>
      </c>
      <c r="O237" s="10">
        <f>IFERROR(__xludf.DUMMYFUNCTION("IF(AND(C237="""",AND(D237="""",AND(E237="""",AND(F237="""",AND(G237="""",AND(H237="""",AND(I237="""",AND(J237="""",AND(K237="""",L237=""""))))))))),"""",(IF(C232="""",0,IF(REGEXMATCH(C232,""W""),IF(C229&lt;0,((-100/C229))*10,((C229/100)*10)),-10))+IF(D232="""&amp;""",0,IF(REGEXMATCH(D232,""W""),IF(D229&lt;0,((-100/D229))*10,((D229/100)*10)),-10))+IF(E232="""",0,IF(REGEXMATCH(E232,""W""),IF(E229&lt;0,((-100/E229))*10,((E229/100)*10)),-10))+IF(F232="""",0,IF(REGEXMATCH(F232,""W""),IF(F229&lt;0,((-100/F229))*10,((F229/100)*10)"&amp;"),-10))+IF(G232="""",0,IF(REGEXMATCH(G232,""W""),IF(G229&lt;0,((-100/G229))*10,((G229/100)*10)),-10))+IF(H232="""",0,IF(REGEXMATCH(H232,""W""),IF(H229&lt;0,((-100/H229))*10,((H229/100)*10)),-10))+IF(I232="""",0,IF(REGEXMATCH(I232,""W""),IF(I229&lt;0,((-100/I229))*"&amp;"10,((I229/100)*10)),-10))+IF(J232="""",0,IF(REGEXMATCH(J232,""W""),IF(J229&lt;0,((-100/J229))*10,((J229/100)*10)),-10))+IF(K232="""",0,IF(REGEXMATCH(K232,""W""),IF(K229&lt;0,((-100/K229))*10,((K229/100)*10)),-10))+IF(L232="""",0,IF(REGEXMATCH(L232,""W""),IF(L22"&amp;"9&lt;0,((-100/L229))*10,((L229/100)*10)),-10))))"),29.718584803397057)</f>
        <v>29.7185848</v>
      </c>
      <c r="P237" s="10">
        <f>IFERROR(__xludf.DUMMYFUNCTION("IF(AND(C237="""",AND(D237="""",AND(E237="""",AND(F237="""",AND(G237="""",AND(H237="""",AND(I237="""",AND(J237="""",AND(K237="""",L237=""""))))))))),"""",(P224+IF(C232="""",0,IF(REGEXMATCH(C232,""W""),IF(C229&lt;0,((-100/C229))*10,((C229/100)*10)),-10))+IF(D2"&amp;"32="""",0,IF(REGEXMATCH(D232,""W""),IF(D229&lt;0,((-100/D229))*10,((D229/100)*10)),-10))+IF(E232="""",0,IF(REGEXMATCH(E232,""W""),IF(E229&lt;0,((-100/E229))*10,((E229/100)*10)),-10))+IF(F232="""",0,IF(REGEXMATCH(F232,""W""),IF(F229&lt;0,((-100/F229))*10,((F229/100"&amp;")*10)),-10))+IF(G232="""",0,IF(REGEXMATCH(G232,""W""),IF(G229&lt;0,((-100/G229))*10,((G229/100)*10)),-10))+IF(H232="""",0,IF(REGEXMATCH(H232,""W""),IF(H229&lt;0,((-100/H229))*10,((H229/100)*10)),-10))+IF(I232="""",0,IF(REGEXMATCH(I232,""W""),IF(I229&lt;0,((-100/I2"&amp;"29))*10,((I229/100)*10)),-10))+IF(J232="""",0,IF(REGEXMATCH(J232,""W""),IF(J229&lt;0,((-100/J229))*10,((J229/100)*10)),-10))+IF(K232="""",0,IF(REGEXMATCH(K232,""W""),IF(K229&lt;0,((-100/K229))*10,((K229/100)*10)),-10))+IF(L232="""",0,IF(REGEXMATCH(L232,""W""),I"&amp;"F(L229&lt;0,((-100/L229))*10,((L229/100)*10)),-10))))"),104.74716391430482)</f>
        <v>104.7471639</v>
      </c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 ht="16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 ht="16.5" customHeight="1">
      <c r="A239" s="1" t="s">
        <v>160</v>
      </c>
      <c r="B239" s="2"/>
      <c r="C239" s="3" t="s">
        <v>1</v>
      </c>
      <c r="D239" s="3" t="s">
        <v>2</v>
      </c>
      <c r="E239" s="3" t="s">
        <v>3</v>
      </c>
      <c r="F239" s="3" t="s">
        <v>4</v>
      </c>
      <c r="G239" s="3" t="s">
        <v>5</v>
      </c>
      <c r="H239" s="3" t="s">
        <v>6</v>
      </c>
      <c r="I239" s="3" t="s">
        <v>7</v>
      </c>
      <c r="J239" s="3" t="s">
        <v>8</v>
      </c>
      <c r="K239" s="3" t="s">
        <v>9</v>
      </c>
      <c r="L239" s="3" t="s">
        <v>10</v>
      </c>
      <c r="M239" s="2"/>
      <c r="N239" s="4"/>
      <c r="O239" s="3" t="s">
        <v>11</v>
      </c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 ht="16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 ht="16.5" customHeight="1">
      <c r="A241" s="3" t="s">
        <v>12</v>
      </c>
      <c r="B241" s="2"/>
      <c r="C241" s="12" t="str">
        <f>'2025'!C94</f>
        <v>T. Warren Any TD &amp; Colts Win</v>
      </c>
      <c r="D241" s="12" t="str">
        <f>'2025'!D94</f>
        <v>Packers -3.5</v>
      </c>
      <c r="E241" s="12" t="str">
        <f>'2025'!E94</f>
        <v>T. Kelce Any TD</v>
      </c>
      <c r="F241" s="12" t="str">
        <f>'2025'!F94</f>
        <v>Buccaneers -4.5</v>
      </c>
      <c r="G241" s="12" t="str">
        <f>'2025'!G94</f>
        <v>Bills First to 15 Points</v>
      </c>
      <c r="H241" s="12" t="str">
        <f>'2025'!H94</f>
        <v>Patriots -6.5</v>
      </c>
      <c r="I241" s="12" t="str">
        <f>'2025'!I94</f>
        <v>49ers Moneyline</v>
      </c>
      <c r="J241" s="12" t="str">
        <f>'2025'!J94</f>
        <v>Giants +10.5</v>
      </c>
      <c r="K241" s="12" t="str">
        <f>'2025'!K94</f>
        <v>Over 44.5</v>
      </c>
      <c r="L241" s="12" t="str">
        <f>'2025'!L94</f>
        <v>J. Williams Any Touchdown</v>
      </c>
      <c r="M241" s="2"/>
      <c r="N241" s="3" t="s">
        <v>13</v>
      </c>
      <c r="O241" s="7">
        <f>IF(AND(C242="",AND(D242="",AND(E242="",AND(F242="",AND(G242="",AND(H242="",AND(I242="",AND(J242="",AND(K242="",L242=""))))))))),"",IF(((IF(C242="",1,IF(C242&gt;0,(C242/100)+1,(100/((-1)*C242))+1)))*(IF(D242="",1,IF(D242&gt;0,(D242/100)+1,(100/((-1)*D242))+1)))*(IF(E242="",1,IF(E242&gt;0,(E242/100)+1,(100/((-1)*E242))+1)))*(IF(F242="",1,IF(F242&gt;0,(F242/100)+1,(100/((-1)*F242))+1)))*(IF(G242="",1,IF(G242&gt;0,(G242/100)+1,(100/((-1)*G242))+1)))*(IF(H242="",1,IF(H242&gt;0,(H242/100)+1,(100/((-1)*H242))+1)))*(IF(I242="",1,IF(I242&gt;0,(I242/100)+1,(100/((-1)*I242))+1)))*(IF(J242="",1,IF(J242&gt;0,(J242/100)+1,(100/((-1)*J242))+1)))*(IF(K242="",1,IF(K242&gt;0,(K242/100)+1,(100/((-1)*K242))+1)))*(IF(L242="",1,IF(L242&gt;0,(L242/100)+1,(100/((-1)*L242))+1))))&lt;2,((-100)/(((IF(C242="",1,IF(C242&gt;0,(C242/100)+1,(100/((-1)*C242))+1)))*(IF(D242="",1,IF(D242&gt;0,(D242/100)+1,(100/((-1)*D242))+1)))*(IF(E242="",1,IF(E242&gt;0,(E242/100)+1,(100/((-1)*E242))+1)))*(IF(F242="",1,IF(F242&gt;0,(F242/100)+1,(100/((-1)*F242))+1)))*(IF(G242="",1,IF(G242&gt;0,(G242/100)+1,(100/((-1)*G242))+1)))*(IF(H242="",1,IF(H242&gt;0,(H242/100)+1,(100/((-1)*H242))+1)))*(IF(I242="",1,IF(I242&gt;0,(I242/100)+1,(100/((-1)*I242))+1)))*(IF(J242="",1,IF(J242&gt;0,(J242/100)+1,(100/((-1)*J242))+1)))*(IF(K242="",1,IF(K242&gt;0,(K242/100)+1,(100/((-1)*K242))+1)))*(IF(L242="",1,IF(L242&gt;0,(L242/100)+1,(100/((-1)*L242))+1))))-1)),((((IF(C242="",1,IF(C242&gt;0,(C242/100)+1,(100/((-1)*C242))+1)))*(IF(D242="",1,IF(D242&gt;0,(D242/100)+1,(100/((-1)*D242))+1)))*(IF(E242="",1,IF(E242&gt;0,(E242/100)+1,(100/((-1)*E242))+1)))*(IF(F242="",1,IF(F242&gt;0,(F242/100)+1,(100/((-1)*F242))+1)))*(IF(G242="",1,IF(G242&gt;0,(G242/100)+1,(100/((-1)*G242))+1)))*(IF(H242="",1,IF(H242&gt;0,(H242/100)+1,(100/((-1)*H242))+1)))*(IF(I242="",1,IF(I242&gt;0,(I242/100)+1,(100/((-1)*I242))+1)))*(IF(J242="",1,IF(J242&gt;0,(J242/100)+1,(100/((-1)*J242))+1)))*(IF(K242="",1,IF(K242&gt;0,(K242/100)+1,(100/((-1)*K242))+1)))*(IF(L242="",1,IF(L242&gt;0,(L242/100)+1,(100/((-1)*L242))+1))))-1)*(100))))</f>
        <v>35107.20738</v>
      </c>
      <c r="P241" s="4"/>
      <c r="Q241" s="8" t="s">
        <v>35</v>
      </c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 ht="16.5" customHeight="1">
      <c r="A242" s="3" t="s">
        <v>13</v>
      </c>
      <c r="B242" s="2"/>
      <c r="C242" s="18">
        <f>'2025'!C95</f>
        <v>119</v>
      </c>
      <c r="D242" s="18">
        <f>'2025'!D95</f>
        <v>105</v>
      </c>
      <c r="E242" s="18">
        <f>'2025'!E95</f>
        <v>-175</v>
      </c>
      <c r="F242" s="18">
        <f>'2025'!F95</f>
        <v>-109</v>
      </c>
      <c r="G242" s="18">
        <f>'2025'!G95</f>
        <v>-270</v>
      </c>
      <c r="H242" s="18">
        <f>'2025'!H95</f>
        <v>-130</v>
      </c>
      <c r="I242" s="18">
        <f>'2025'!I95</f>
        <v>110</v>
      </c>
      <c r="J242" s="18">
        <f>'2025'!J95</f>
        <v>-159</v>
      </c>
      <c r="K242" s="18">
        <f>'2025'!K95</f>
        <v>-112</v>
      </c>
      <c r="L242" s="18">
        <f>'2025'!L95</f>
        <v>-152</v>
      </c>
      <c r="M242" s="2">
        <v>8.0</v>
      </c>
      <c r="N242" s="3" t="s">
        <v>36</v>
      </c>
      <c r="O242" s="10">
        <f>IF(AND(C242="",AND(D242="",AND(E242="",AND(F242="",AND(G242="",AND(H242="",AND(I242="",AND(J242="",AND(K242="",L242=""))))))))),"",10+IF((IF(((IF(C242="",1,IF(C242&gt;0,(C242/100)+1,(100/((-1)*C242))+1)))*(IF(D242="",1,IF(D242&gt;0,(D242/100)+1,(100/((-1)*D242))+1)))*(IF(E242="",1,IF(E242&gt;0,(E242/100)+1,(100/((-1)*E242))+1)))*(IF(F242="",1,IF(F242&gt;0,(F242/100)+1,(100/((-1)*F242))+1)))*(IF(G242="",1,IF(G242&gt;0,(G242/100)+1,(100/((-1)*G242))+1)))*(IF(H242="",1,IF(H242&gt;0,(H242/100)+1,(100/((-1)*H242))+1)))*(IF(I242="",1,IF(I242&gt;0,(I242/100)+1,(100/((-1)*I242))+1)))*(IF(J242="",1,IF(J242&gt;0,(J242/100)+1,(100/((-1)*J242))+1)))*(IF(K242="",1,IF(K242&gt;0,(K242/100)+1,(100/((-1)*K242))+1)))*(IF(L242="",1,IF(L242&gt;0,(L242/100)+1,(100/((-1)*L242))+1))))&lt;2,((-100)/(((IF(C242="",1,IF(C242&gt;0,(C242/100)+1,(100/((-1)*C242))+1)))*(IF(D242="",1,IF(D242&gt;0,(D242/100)+1,(100/((-1)*D242))+1)))*(IF(E242="",1,IF(E242&gt;0,(E242/100)+1,(100/((-1)*E242))+1)))*(IF(F242="",1,IF(F242&gt;0,(F242/100)+1,(100/((-1)*F242))+1)))*(IF(G242="",1,IF(G242&gt;0,(G242/100)+1,(100/((-1)*G242))+1)))*(IF(H242="",1,IF(H242&gt;0,(H242/100)+1,(100/((-1)*H242))+1)))*(IF(I242="",1,IF(I242&gt;0,(I242/100)+1,(100/((-1)*I242))+1)))*(IF(J242="",1,IF(J242&gt;0,(J242/100)+1,(100/((-1)*J242))+1)))*(IF(K242="",1,IF(K242&gt;0,(K242/100)+1,(100/((-1)*K242))+1)))*(IF(L242="",1,IF(L242&gt;0,(L242/100)+1,(100/((-1)*L242))+1))))-1)),((((IF(C242="",1,IF(C242&gt;0,(C242/100)+1,(100/((-1)*C242))+1)))*(IF(D242="",1,IF(D242&gt;0,(D242/100)+1,(100/((-1)*D242))+1)))*(IF(E242="",1,IF(E242&gt;0,(E242/100)+1,(100/((-1)*E242))+1)))*(IF(F242="",1,IF(F242&gt;0,(F242/100)+1,(100/((-1)*F242))+1)))*(IF(G242="",1,IF(G242&gt;0,(G242/100)+1,(100/((-1)*G242))+1)))*(IF(H242="",1,IF(H242&gt;0,(H242/100)+1,(100/((-1)*H242))+1)))*(IF(I242="",1,IF(I242&gt;0,(I242/100)+1,(100/((-1)*I242))+1)))*(IF(J242="",1,IF(J242&gt;0,(J242/100)+1,(100/((-1)*J242))+1)))*(IF(K242="",1,IF(K242&gt;0,(K242/100)+1,(100/((-1)*K242))+1)))*(IF(L242="",1,IF(L242&gt;0,(L242/100)+1,(100/((-1)*L242))+1))))-1)*(100))))&lt;0,(((-100)/((IF(((IF(C242="",1,IF(C242&gt;0,(C242/100)+1,(100/((-1)*C242))+1)))*(IF(D242="",1,IF(D242&gt;0,(D242/100)+1,(100/((-1)*D242))+1)))*(IF(E242="",1,IF(E242&gt;0,(E242/100)+1,(100/((-1)*E242))+1)))*(IF(F242="",1,IF(F242&gt;0,(F242/100)+1,(100/((-1)*F242))+1)))*(IF(G242="",1,IF(G242&gt;0,(G242/100)+1,(100/((-1)*G242))+1)))*(IF(H242="",1,IF(H242&gt;0,(H242/100)+1,(100/((-1)*H242))+1)))*(IF(I242="",1,IF(I242&gt;0,(I242/100)+1,(100/((-1)*I242))+1)))*(IF(J242="",1,IF(J242&gt;0,(J242/100)+1,(100/((-1)*J242))+1)))*(IF(K242="",1,IF(K242&gt;0,(K242/100)+1,(100/((-1)*K242))+1)))*(IF(L242="",1,IF(L242&gt;0,(L242/100)+1,(100/((-1)*L242))+1))))&lt;2,((-100)/(((IF(C242="",1,IF(C242&gt;0,(C242/100)+1,(100/((-1)*C242))+1)))*(IF(D242="",1,IF(D242&gt;0,(D242/100)+1,(100/((-1)*D242))+1)))*(IF(E242="",1,IF(E242&gt;0,(E242/100)+1,(100/((-1)*E242))+1)))*(IF(F242="",1,IF(F242&gt;0,(F242/100)+1,(100/((-1)*F242))+1)))*(IF(G242="",1,IF(G242&gt;0,(G242/100)+1,(100/((-1)*G242))+1)))*(IF(H242="",1,IF(H242&gt;0,(H242/100)+1,(100/((-1)*H242))+1)))*(IF(I242="",1,IF(I242&gt;0,(I242/100)+1,(100/((-1)*I242))+1)))*(IF(J242="",1,IF(J242&gt;0,(J242/100)+1,(100/((-1)*J242))+1)))*(IF(K242="",1,IF(K242&gt;0,(K242/100)+1,(100/((-1)*K242))+1)))*(IF(L242="",1,IF(L242&gt;0,(L242/100)+1,(100/((-1)*L242))+1))))-1)),((((IF(C242="",1,IF(C242&gt;0,(C242/100)+1,(100/((-1)*C242))+1)))*(IF(D242="",1,IF(D242&gt;0,(D242/100)+1,(100/((-1)*D242))+1)))*(IF(E242="",1,IF(E242&gt;0,(E242/100)+1,(100/((-1)*E242))+1)))*(IF(F242="",1,IF(F242&gt;0,(F242/100)+1,(100/((-1)*F242))+1)))*(IF(G242="",1,IF(G242&gt;0,(G242/100)+1,(100/((-1)*G242))+1)))*(IF(H242="",1,IF(H242&gt;0,(H242/100)+1,(100/((-1)*H242))+1)))*(IF(I242="",1,IF(I242&gt;0,(I242/100)+1,(100/((-1)*I242))+1)))*(IF(J242="",1,IF(J242&gt;0,(J242/100)+1,(100/((-1)*J242))+1)))*(IF(K242="",1,IF(K242&gt;0,(K242/100)+1,(100/((-1)*K242))+1)))*(IF(L242="",1,IF(L242&gt;0,(L242/100)+1,(100/((-1)*L242))+1))))-1)*(100))))))*10),(((IF(((IF(C242="",1,IF(C242&gt;0,(C242/100)+1,(100/((-1)*C242))+1)))*(IF(D242="",1,IF(D242&gt;0,(D242/100)+1,(100/((-1)*D242))+1)))*(IF(E242="",1,IF(E242&gt;0,(E242/100)+1,(100/((-1)*E242))+1)))*(IF(F242="",1,IF(F242&gt;0,(F242/100)+1,(100/((-1)*F242))+1)))*(IF(G242="",1,IF(G242&gt;0,(G242/100)+1,(100/((-1)*G242))+1)))*(IF(H242="",1,IF(H242&gt;0,(H242/100)+1,(100/((-1)*H242))+1)))*(IF(I242="",1,IF(I242&gt;0,(I242/100)+1,(100/((-1)*I242))+1)))*(IF(J242="",1,IF(J242&gt;0,(J242/100)+1,(100/((-1)*J242))+1)))*(IF(K242="",1,IF(K242&gt;0,(K242/100)+1,(100/((-1)*K242))+1)))*(IF(L242="",1,IF(L242&gt;0,(L242/100)+1,(100/((-1)*L242))+1))))&lt;2,((-100)/(((IF(C242="",1,IF(C242&gt;0,(C242/100)+1,(100/((-1)*C242))+1)))*(IF(D242="",1,IF(D242&gt;0,(D242/100)+1,(100/((-1)*D242))+1)))*(IF(E242="",1,IF(E242&gt;0,(E242/100)+1,(100/((-1)*E242))+1)))*(IF(F242="",1,IF(F242&gt;0,(F242/100)+1,(100/((-1)*F242))+1)))*(IF(G242="",1,IF(G242&gt;0,(G242/100)+1,(100/((-1)*G242))+1)))*(IF(H242="",1,IF(H242&gt;0,(H242/100)+1,(100/((-1)*H242))+1)))*(IF(I242="",1,IF(I242&gt;0,(I242/100)+1,(100/((-1)*I242))+1)))*(IF(J242="",1,IF(J242&gt;0,(J242/100)+1,(100/((-1)*J242))+1)))*(IF(K242="",1,IF(K242&gt;0,(K242/100)+1,(100/((-1)*K242))+1)))*(IF(L242="",1,IF(L242&gt;0,(L242/100)+1,(100/((-1)*L242))+1))))-1)),((((IF(C242="",1,IF(C242&gt;0,(C242/100)+1,(100/((-1)*C242))+1)))*(IF(D242="",1,IF(D242&gt;0,(D242/100)+1,(100/((-1)*D242))+1)))*(IF(E242="",1,IF(E242&gt;0,(E242/100)+1,(100/((-1)*E242))+1)))*(IF(F242="",1,IF(F242&gt;0,(F242/100)+1,(100/((-1)*F242))+1)))*(IF(G242="",1,IF(G242&gt;0,(G242/100)+1,(100/((-1)*G242))+1)))*(IF(H242="",1,IF(H242&gt;0,(H242/100)+1,(100/((-1)*H242))+1)))*(IF(I242="",1,IF(I242&gt;0,(I242/100)+1,(100/((-1)*I242))+1)))*(IF(J242="",1,IF(J242&gt;0,(J242/100)+1,(100/((-1)*J242))+1)))*(IF(K242="",1,IF(K242&gt;0,(K242/100)+1,(100/((-1)*K242))+1)))*(IF(L242="",1,IF(L242&gt;0,(L242/100)+1,(100/((-1)*L242))+1))))-1)*(100))))/100)*10)))</f>
        <v>3520.720738</v>
      </c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 ht="16.5" customHeight="1">
      <c r="A243" s="3" t="s">
        <v>37</v>
      </c>
      <c r="B243" s="2"/>
      <c r="C243" s="18" t="str">
        <f>'2025'!C96</f>
        <v>Titans @ Colts</v>
      </c>
      <c r="D243" s="18" t="str">
        <f>'2025'!D96</f>
        <v>Packers @ Steelers</v>
      </c>
      <c r="E243" s="18" t="str">
        <f>'2025'!E96</f>
        <v>Commanders @ Chiefs</v>
      </c>
      <c r="F243" s="18" t="str">
        <f>'2025'!F96</f>
        <v>Buccaneers @ Saints</v>
      </c>
      <c r="G243" s="18" t="str">
        <f>'2025'!G96</f>
        <v>Bills @ Panthers</v>
      </c>
      <c r="H243" s="18" t="str">
        <f>'2025'!H96</f>
        <v>Browns @ Patriots</v>
      </c>
      <c r="I243" s="18" t="str">
        <f>'2025'!I96</f>
        <v>49ers @ Texans</v>
      </c>
      <c r="J243" s="18" t="str">
        <f>'2025'!J96</f>
        <v>Giants @ Eagles</v>
      </c>
      <c r="K243" s="18" t="str">
        <f>'2025'!K96</f>
        <v>Dolphins @ Falcons</v>
      </c>
      <c r="L243" s="18" t="str">
        <f>'2025'!L96</f>
        <v>Cowboys @ Broncos</v>
      </c>
      <c r="M243" s="2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 ht="16.5" customHeight="1">
      <c r="A244" s="3" t="s">
        <v>48</v>
      </c>
      <c r="B244" s="2"/>
      <c r="C244" s="18" t="str">
        <f>'2025'!C97</f>
        <v>0 TDs &amp; Colts Win</v>
      </c>
      <c r="D244" s="18" t="str">
        <f>'2025'!D97</f>
        <v>35-25</v>
      </c>
      <c r="E244" s="18" t="str">
        <f>'2025'!E97</f>
        <v>1 Touchdown</v>
      </c>
      <c r="F244" s="18" t="str">
        <f>'2025'!F97</f>
        <v>23-3</v>
      </c>
      <c r="G244" s="18" t="str">
        <f>'2025'!G97</f>
        <v>Bills First to 15 Points</v>
      </c>
      <c r="H244" s="18" t="str">
        <f>'2025'!H97</f>
        <v>13-32</v>
      </c>
      <c r="I244" s="18" t="str">
        <f>'2025'!I97</f>
        <v>15-26</v>
      </c>
      <c r="J244" s="18" t="str">
        <f>'2025'!J97</f>
        <v>20-38</v>
      </c>
      <c r="K244" s="18" t="str">
        <f>'2025'!K97</f>
        <v>34-10</v>
      </c>
      <c r="L244" s="18" t="str">
        <f>'2025'!L97</f>
        <v>2 Touchdowns</v>
      </c>
      <c r="M244" s="2"/>
      <c r="N244" s="4"/>
      <c r="O244" s="3" t="s">
        <v>56</v>
      </c>
      <c r="P244" s="3" t="s">
        <v>57</v>
      </c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 ht="16.5" customHeight="1">
      <c r="A245" s="3" t="s">
        <v>59</v>
      </c>
      <c r="B245" s="2"/>
      <c r="C245" s="18" t="str">
        <f>'2025'!C98</f>
        <v>L</v>
      </c>
      <c r="D245" s="18" t="str">
        <f>'2025'!D98</f>
        <v>W</v>
      </c>
      <c r="E245" s="18" t="str">
        <f>'2025'!E98</f>
        <v>W</v>
      </c>
      <c r="F245" s="18" t="str">
        <f>'2025'!F98</f>
        <v>W</v>
      </c>
      <c r="G245" s="18" t="str">
        <f>'2025'!G98</f>
        <v>W</v>
      </c>
      <c r="H245" s="18" t="str">
        <f>'2025'!H98</f>
        <v>W</v>
      </c>
      <c r="I245" s="18" t="str">
        <f>'2025'!I98</f>
        <v>L</v>
      </c>
      <c r="J245" s="18" t="str">
        <f>'2025'!J98</f>
        <v>L</v>
      </c>
      <c r="K245" s="18" t="str">
        <f>'2025'!K98</f>
        <v>L</v>
      </c>
      <c r="L245" s="18" t="str">
        <f>'2025'!L98</f>
        <v>W</v>
      </c>
      <c r="M245" s="2"/>
      <c r="N245" s="3" t="s">
        <v>65</v>
      </c>
      <c r="O245" s="12" t="str">
        <f>IFERROR(__xludf.DUMMYFUNCTION("IF(OR(COUNTA(C242:L242) = 0, COUNTA(C245:L245) = 0), """", IFERROR(TEXTJOIN("", "", TRUE, FILTER(C239:L239, (C245:L245 = ""W"") * (C242:L242 = MAX(FILTER(C242:L242, C245:L245 = ""W""))))), """"))"),"Carson")</f>
        <v>Carson</v>
      </c>
      <c r="P245" s="12" t="str">
        <f>IFERROR(__xludf.DUMMYFUNCTION("IF(COUNTA(C250:L250) = 0, """", IFERROR(TEXTJOIN("", "", TRUE, FILTER(C239:L239, C250:L250 = MAX(C250:L250))), """"))"),"Carson")</f>
        <v>Carson</v>
      </c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 ht="16.5" customHeight="1">
      <c r="A246" s="1" t="s">
        <v>81</v>
      </c>
      <c r="B246" s="2"/>
      <c r="C246" s="4">
        <f t="shared" ref="C246:L246" si="73">IF(OR(C242="",C245=""),"",C233+COUNTIF(C245,"W"))</f>
        <v>12</v>
      </c>
      <c r="D246" s="4">
        <f t="shared" si="73"/>
        <v>15</v>
      </c>
      <c r="E246" s="4">
        <f t="shared" si="73"/>
        <v>11</v>
      </c>
      <c r="F246" s="4">
        <f t="shared" si="73"/>
        <v>12</v>
      </c>
      <c r="G246" s="4">
        <f t="shared" si="73"/>
        <v>11</v>
      </c>
      <c r="H246" s="4">
        <f t="shared" si="73"/>
        <v>11</v>
      </c>
      <c r="I246" s="4">
        <f t="shared" si="73"/>
        <v>7</v>
      </c>
      <c r="J246" s="4">
        <f t="shared" si="73"/>
        <v>11</v>
      </c>
      <c r="K246" s="4">
        <f t="shared" si="73"/>
        <v>8</v>
      </c>
      <c r="L246" s="4">
        <f t="shared" si="73"/>
        <v>12</v>
      </c>
      <c r="M246" s="2"/>
      <c r="N246" s="3" t="s">
        <v>82</v>
      </c>
      <c r="O246" s="4" t="str">
        <f>IFERROR(__xludf.DUMMYFUNCTION("IF(OR(COUNTA(C242:L242) = 0, COUNTA(C245:L245) = 0), """", IFERROR(TEXTJOIN("", "", TRUE, FILTER(C239:L239, (C245:L245 = ""L"") * (C242:L242 = MIN(FILTER(C242:L242, C245:L245 = ""L""))))), """"))"),"Tanner")</f>
        <v>Tanner</v>
      </c>
      <c r="P246" s="12" t="str">
        <f>IFERROR(__xludf.DUMMYFUNCTION("IF(COUNTA(C250:L250) = 0, """", IFERROR(TEXTJOIN("", "", TRUE, FILTER(C239:L239, C250:L250 = MIN(C250:L250))), """"))"),"Nick")</f>
        <v>Nick</v>
      </c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 ht="16.5" customHeight="1">
      <c r="A247" s="1" t="s">
        <v>83</v>
      </c>
      <c r="B247" s="2"/>
      <c r="C247" s="27">
        <f t="shared" ref="C247:L247" si="74">IF(OR(C242="",C245=""),"",C234+COUNTIF(C245,"L"))</f>
        <v>7</v>
      </c>
      <c r="D247" s="27">
        <f t="shared" si="74"/>
        <v>4</v>
      </c>
      <c r="E247" s="27">
        <f t="shared" si="74"/>
        <v>8</v>
      </c>
      <c r="F247" s="27">
        <f t="shared" si="74"/>
        <v>7</v>
      </c>
      <c r="G247" s="27">
        <f t="shared" si="74"/>
        <v>8</v>
      </c>
      <c r="H247" s="27">
        <f t="shared" si="74"/>
        <v>8</v>
      </c>
      <c r="I247" s="27">
        <f t="shared" si="74"/>
        <v>12</v>
      </c>
      <c r="J247" s="27">
        <f t="shared" si="74"/>
        <v>8</v>
      </c>
      <c r="K247" s="27">
        <f t="shared" si="74"/>
        <v>11</v>
      </c>
      <c r="L247" s="27">
        <f t="shared" si="74"/>
        <v>7</v>
      </c>
      <c r="M247" s="2"/>
      <c r="N247" s="3" t="s">
        <v>84</v>
      </c>
      <c r="O247" s="12" t="str">
        <f>IFERROR(__xludf.DUMMYFUNCTION("IF(COUNTA(C242:L242) = 0, """", IFERROR(TEXTJOIN("", "", TRUE, FILTER(C239:L239, C242:L242 = MAX(C242:L242))), """"))"),"Austin")</f>
        <v>Austin</v>
      </c>
      <c r="P247" s="4" t="str">
        <f>IFERROR(__xludf.DUMMYFUNCTION("IF(COUNTA(C242:L242) = 0, """", IFERROR(TEXTJOIN("", "", TRUE, FILTER(C239:L239, C249:L249 = MAX(C249:L249))), """"))"),"Jake")</f>
        <v>Jake</v>
      </c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 ht="16.5" customHeight="1">
      <c r="A248" s="3" t="s">
        <v>85</v>
      </c>
      <c r="B248" s="2"/>
      <c r="C248" s="24">
        <f t="shared" ref="C248:L248" si="75">IF(OR(C242="",C245=""),"",(C246/(C246+C247)))</f>
        <v>0.6315789474</v>
      </c>
      <c r="D248" s="24">
        <f t="shared" si="75"/>
        <v>0.7894736842</v>
      </c>
      <c r="E248" s="24">
        <f t="shared" si="75"/>
        <v>0.5789473684</v>
      </c>
      <c r="F248" s="24">
        <f t="shared" si="75"/>
        <v>0.6315789474</v>
      </c>
      <c r="G248" s="24">
        <f t="shared" si="75"/>
        <v>0.5789473684</v>
      </c>
      <c r="H248" s="24">
        <f t="shared" si="75"/>
        <v>0.5789473684</v>
      </c>
      <c r="I248" s="24">
        <f t="shared" si="75"/>
        <v>0.3684210526</v>
      </c>
      <c r="J248" s="24">
        <f t="shared" si="75"/>
        <v>0.5789473684</v>
      </c>
      <c r="K248" s="24">
        <f t="shared" si="75"/>
        <v>0.4210526316</v>
      </c>
      <c r="L248" s="24">
        <f t="shared" si="75"/>
        <v>0.6315789474</v>
      </c>
      <c r="M248" s="14"/>
      <c r="N248" s="3" t="s">
        <v>86</v>
      </c>
      <c r="O248" s="4" t="str">
        <f>IFERROR(__xludf.DUMMYFUNCTION("IF(COUNTA(C242:L242) = 0, """", IFERROR(TEXTJOIN("", "", TRUE, FILTER(C239:L239, C242:L242 = MIN(C242:L242))), """"))"),"Hunter")</f>
        <v>Hunter</v>
      </c>
      <c r="P248" s="4" t="str">
        <f>IFERROR(__xludf.DUMMYFUNCTION("IF(COUNTA(C242:L242) = 0, """", IFERROR(TEXTJOIN("", "", TRUE, FILTER(C239:L239, C249:L249 = MIN(C249:L249))), """"))"),"Carson")</f>
        <v>Carson</v>
      </c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 ht="16.5" customHeight="1">
      <c r="A249" s="3" t="s">
        <v>87</v>
      </c>
      <c r="B249" s="2"/>
      <c r="C249" s="25">
        <f t="shared" ref="C249:L249" si="76">IF(C242="","",IF(((IF(C242 &lt;0,((-100/C242)+1),((C242/100)+1))+(IF(C236&lt;0,((-100/C236)+1),((C236/100)+1)))*(C233+C234))/(C233+C234+1))&lt;2,(-100/(((IF(C242 &lt;0,((-100/C242)+1),((C242/100)+1))+(IF(C236&lt;0,((-100/C236)+1),((C236/100)+1)))*(C233+C234))/(C233+C234+1))-1)),(((IF(C242 &lt;0,((-100/C242)+1),((C242/100)+1))+(IF(C236&lt;0,((-100/C236)+1),((C236/100)+1)))*(C233+C234))/(C233+C234+1))-1)*100))</f>
        <v>-118.8752845</v>
      </c>
      <c r="D249" s="25">
        <f t="shared" si="76"/>
        <v>-132.6902611</v>
      </c>
      <c r="E249" s="25">
        <f t="shared" si="76"/>
        <v>-118.7641644</v>
      </c>
      <c r="F249" s="25">
        <f t="shared" si="76"/>
        <v>-122.0885955</v>
      </c>
      <c r="G249" s="25">
        <f t="shared" si="76"/>
        <v>-104.0994352</v>
      </c>
      <c r="H249" s="25">
        <f t="shared" si="76"/>
        <v>105.5943347</v>
      </c>
      <c r="I249" s="25">
        <f t="shared" si="76"/>
        <v>-122.6839028</v>
      </c>
      <c r="J249" s="25">
        <f t="shared" si="76"/>
        <v>-120.9371654</v>
      </c>
      <c r="K249" s="25">
        <f t="shared" si="76"/>
        <v>-117.2962792</v>
      </c>
      <c r="L249" s="25">
        <f t="shared" si="76"/>
        <v>-108.1290515</v>
      </c>
      <c r="M249" s="14"/>
      <c r="N249" s="4"/>
      <c r="O249" s="12"/>
      <c r="P249" s="12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 ht="16.5" customHeight="1">
      <c r="A250" s="16" t="s">
        <v>88</v>
      </c>
      <c r="B250" s="2"/>
      <c r="C250" s="26">
        <f>IFERROR(__xludf.DUMMYFUNCTION("IF(OR(C242="""",C245=""""),"""",IF(REGEXMATCH(C245,""W""),IF(C242&lt;0,((-100/C242))*10+C237,((C242/100)*10+C237)),-10+C237))"),25.60133176232946)</f>
        <v>25.60133176</v>
      </c>
      <c r="D250" s="26">
        <f>IFERROR(__xludf.DUMMYFUNCTION("IF(OR(D242="""",D245=""""),"""",IF(REGEXMATCH(D245,""W""),IF(D242&lt;0,((-100/D242))*10+D237,((D242/100)*10+D237)),-10+D237))"),68.99389867673857)</f>
        <v>68.99389868</v>
      </c>
      <c r="E250" s="26">
        <f>IFERROR(__xludf.DUMMYFUNCTION("IF(OR(E242="""",E245=""""),"""",IF(REGEXMATCH(E245,""W""),IF(E242&lt;0,((-100/E242))*10+E237,((E242/100)*10+E237)),-10+E237))"),13.302774656471653)</f>
        <v>13.30277466</v>
      </c>
      <c r="F250" s="26">
        <f>IFERROR(__xludf.DUMMYFUNCTION("IF(OR(F242="""",F245=""""),"""",IF(REGEXMATCH(F245,""W""),IF(F242&lt;0,((-100/F242))*10+F237,((F242/100)*10+F237)),-10+F237))"),27.847837473712694)</f>
        <v>27.84783747</v>
      </c>
      <c r="G250" s="26">
        <f>IFERROR(__xludf.DUMMYFUNCTION("IF(OR(G242="""",G245=""""),"""",IF(REGEXMATCH(G245,""W""),IF(G242&lt;0,((-100/G242))*10+G237,((G242/100)*10+G237)),-10+G237))"),8.277292585961206)</f>
        <v>8.277292586</v>
      </c>
      <c r="H250" s="26">
        <f>IFERROR(__xludf.DUMMYFUNCTION("IF(OR(H242="""",H245=""""),"""",IF(REGEXMATCH(H245,""W""),IF(H242&lt;0,((-100/H242))*10+H237,((H242/100)*10+H237)),-10+H237))"),29.755975855521484)</f>
        <v>29.75597586</v>
      </c>
      <c r="I250" s="26">
        <f>IFERROR(__xludf.DUMMYFUNCTION("IF(OR(I242="""",I245=""""),"""",IF(REGEXMATCH(I245,""W""),IF(I242&lt;0,((-100/I242))*10+I237,((I242/100)*10+I237)),-10+I237))"),-76.07243309967144)</f>
        <v>-76.0724331</v>
      </c>
      <c r="J250" s="26">
        <f>IFERROR(__xludf.DUMMYFUNCTION("IF(OR(J242="""",J245=""""),"""",IF(REGEXMATCH(J245,""W""),IF(J242&lt;0,((-100/J242))*10+J237,((J242/100)*10+J237)),-10+J237))"),8.948767028388659)</f>
        <v>8.948767028</v>
      </c>
      <c r="K250" s="26">
        <f>IFERROR(__xludf.DUMMYFUNCTION("IF(OR(K242="""",K245=""""),"""",IF(REGEXMATCH(K245,""W""),IF(K242&lt;0,((-100/K242))*10+K237,((K242/100)*10+K237)),-10+K237))"),-41.772448044590035)</f>
        <v>-41.77244804</v>
      </c>
      <c r="L250" s="26">
        <f>IFERROR(__xludf.DUMMYFUNCTION("IF(OR(L242="""",L245=""""),"""",IF(REGEXMATCH(L245,""W""),IF(L242&lt;0,((-100/L242))*10+L237,((L242/100)*10+L237)),-10+L237))"),43.22772342476634)</f>
        <v>43.22772342</v>
      </c>
      <c r="M250" s="14"/>
      <c r="N250" s="16" t="s">
        <v>89</v>
      </c>
      <c r="O250" s="10">
        <f>IFERROR(__xludf.DUMMYFUNCTION("IF(AND(C250="""",AND(D250="""",AND(E250="""",AND(F250="""",AND(G250="""",AND(H250="""",AND(I250="""",AND(J250="""",AND(K250="""",L250=""""))))))))),"""",(IF(C245="""",0,IF(REGEXMATCH(C245,""W""),IF(C242&lt;0,((-100/C242))*10,((C242/100)*10)),-10))+IF(D245="""&amp;""",0,IF(REGEXMATCH(D245,""W""),IF(D242&lt;0,((-100/D242))*10,((D242/100)*10)),-10))+IF(E245="""",0,IF(REGEXMATCH(E245,""W""),IF(E242&lt;0,((-100/E242))*10,((E242/100)*10)),-10))+IF(F245="""",0,IF(REGEXMATCH(F245,""W""),IF(F242&lt;0,((-100/F242))*10,((F242/100)*10)"&amp;"),-10))+IF(G245="""",0,IF(REGEXMATCH(G245,""W""),IF(G242&lt;0,((-100/G242))*10,((G242/100)*10)),-10))+IF(H245="""",0,IF(REGEXMATCH(H245,""W""),IF(H242&lt;0,((-100/H242))*10,((H242/100)*10)),-10))+IF(I245="""",0,IF(REGEXMATCH(I245,""W""),IF(I242&lt;0,((-100/I242))*"&amp;"10,((I242/100)*10)),-10))+IF(J245="""",0,IF(REGEXMATCH(J245,""W""),IF(J242&lt;0,((-100/J242))*10,((J242/100)*10)),-10))+IF(K245="""",0,IF(REGEXMATCH(K245,""W""),IF(K242&lt;0,((-100/K242))*10,((K242/100)*10)),-10))+IF(L245="""",0,IF(REGEXMATCH(L245,""W""),IF(L24"&amp;"2&lt;0,((-100/L242))*10,((L242/100)*10)),-10))))"),3.363556405323669)</f>
        <v>3.363556405</v>
      </c>
      <c r="P250" s="10">
        <f>IFERROR(__xludf.DUMMYFUNCTION("IF(AND(C250="""",AND(D250="""",AND(E250="""",AND(F250="""",AND(G250="""",AND(H250="""",AND(I250="""",AND(J250="""",AND(K250="""",L250=""""))))))))),"""",(P237+IF(C245="""",0,IF(REGEXMATCH(C245,""W""),IF(C242&lt;0,((-100/C242))*10,((C242/100)*10)),-10))+IF(D2"&amp;"45="""",0,IF(REGEXMATCH(D245,""W""),IF(D242&lt;0,((-100/D242))*10,((D242/100)*10)),-10))+IF(E245="""",0,IF(REGEXMATCH(E245,""W""),IF(E242&lt;0,((-100/E242))*10,((E242/100)*10)),-10))+IF(F245="""",0,IF(REGEXMATCH(F245,""W""),IF(F242&lt;0,((-100/F242))*10,((F242/100"&amp;")*10)),-10))+IF(G245="""",0,IF(REGEXMATCH(G245,""W""),IF(G242&lt;0,((-100/G242))*10,((G242/100)*10)),-10))+IF(H245="""",0,IF(REGEXMATCH(H245,""W""),IF(H242&lt;0,((-100/H242))*10,((H242/100)*10)),-10))+IF(I245="""",0,IF(REGEXMATCH(I245,""W""),IF(I242&lt;0,((-100/I2"&amp;"42))*10,((I242/100)*10)),-10))+IF(J245="""",0,IF(REGEXMATCH(J245,""W""),IF(J242&lt;0,((-100/J242))*10,((J242/100)*10)),-10))+IF(K245="""",0,IF(REGEXMATCH(K245,""W""),IF(K242&lt;0,((-100/K242))*10,((K242/100)*10)),-10))+IF(L245="""",0,IF(REGEXMATCH(L245,""W""),I"&amp;"F(L242&lt;0,((-100/L242))*10,((L242/100)*10)),-10))))"),108.1107203196285)</f>
        <v>108.1107203</v>
      </c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 ht="16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 ht="16.5" customHeight="1">
      <c r="A252" s="1" t="s">
        <v>216</v>
      </c>
      <c r="B252" s="2"/>
      <c r="C252" s="3" t="s">
        <v>1</v>
      </c>
      <c r="D252" s="3" t="s">
        <v>2</v>
      </c>
      <c r="E252" s="3" t="s">
        <v>3</v>
      </c>
      <c r="F252" s="3" t="s">
        <v>4</v>
      </c>
      <c r="G252" s="3" t="s">
        <v>5</v>
      </c>
      <c r="H252" s="3" t="s">
        <v>6</v>
      </c>
      <c r="I252" s="3" t="s">
        <v>7</v>
      </c>
      <c r="J252" s="3" t="s">
        <v>8</v>
      </c>
      <c r="K252" s="3" t="s">
        <v>9</v>
      </c>
      <c r="L252" s="3" t="s">
        <v>10</v>
      </c>
      <c r="M252" s="2"/>
      <c r="N252" s="4"/>
      <c r="O252" s="3" t="s">
        <v>11</v>
      </c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 ht="16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 ht="16.5" customHeight="1">
      <c r="A254" s="3" t="s">
        <v>12</v>
      </c>
      <c r="B254" s="2"/>
      <c r="C254" s="12" t="str">
        <f>'2025'!C107</f>
        <v>J. Herbert 2+ Pass TDs &amp; Chargers Win</v>
      </c>
      <c r="D254" s="12" t="str">
        <f>'2025'!D107</f>
        <v>Bills +3.5</v>
      </c>
      <c r="E254" s="12" t="str">
        <f>'2025'!E107</f>
        <v>J. Myers Over 1.5 Field Goals</v>
      </c>
      <c r="F254" s="12" t="str">
        <f>'2025'!F107</f>
        <v>Jaguars -2.5</v>
      </c>
      <c r="G254" s="12" t="str">
        <f>'2025'!G107</f>
        <v>Christian Watson Over 36.5 Rec. Yards</v>
      </c>
      <c r="H254" s="12" t="str">
        <f>'2025'!H107</f>
        <v>Patriots -4.5</v>
      </c>
      <c r="I254" s="12" t="str">
        <f>'2025'!I107</f>
        <v>C. McCaffery 80+ Rush Yards</v>
      </c>
      <c r="J254" s="12" t="str">
        <f>'2025'!J107</f>
        <v>Colts Moneyline</v>
      </c>
      <c r="K254" s="12" t="str">
        <f>'2025'!K107</f>
        <v>Broncos +2.5</v>
      </c>
      <c r="L254" s="12" t="str">
        <f>'2025'!L107</f>
        <v>Cowboys Moneyline</v>
      </c>
      <c r="M254" s="2"/>
      <c r="N254" s="3" t="s">
        <v>13</v>
      </c>
      <c r="O254" s="7">
        <f>IF(AND(C255="",AND(D255="",AND(E255="",AND(F255="",AND(G255="",AND(H255="",AND(I255="",AND(J255="",AND(K255="",L255=""))))))))),"",IF(((IF(C255="",1,IF(C255&gt;0,(C255/100)+1,(100/((-1)*C255))+1)))*(IF(D255="",1,IF(D255&gt;0,(D255/100)+1,(100/((-1)*D255))+1)))*(IF(E255="",1,IF(E255&gt;0,(E255/100)+1,(100/((-1)*E255))+1)))*(IF(F255="",1,IF(F255&gt;0,(F255/100)+1,(100/((-1)*F255))+1)))*(IF(G255="",1,IF(G255&gt;0,(G255/100)+1,(100/((-1)*G255))+1)))*(IF(H255="",1,IF(H255&gt;0,(H255/100)+1,(100/((-1)*H255))+1)))*(IF(I255="",1,IF(I255&gt;0,(I255/100)+1,(100/((-1)*I255))+1)))*(IF(J255="",1,IF(J255&gt;0,(J255/100)+1,(100/((-1)*J255))+1)))*(IF(K255="",1,IF(K255&gt;0,(K255/100)+1,(100/((-1)*K255))+1)))*(IF(L255="",1,IF(L255&gt;0,(L255/100)+1,(100/((-1)*L255))+1))))&lt;2,((-100)/(((IF(C255="",1,IF(C255&gt;0,(C255/100)+1,(100/((-1)*C255))+1)))*(IF(D255="",1,IF(D255&gt;0,(D255/100)+1,(100/((-1)*D255))+1)))*(IF(E255="",1,IF(E255&gt;0,(E255/100)+1,(100/((-1)*E255))+1)))*(IF(F255="",1,IF(F255&gt;0,(F255/100)+1,(100/((-1)*F255))+1)))*(IF(G255="",1,IF(G255&gt;0,(G255/100)+1,(100/((-1)*G255))+1)))*(IF(H255="",1,IF(H255&gt;0,(H255/100)+1,(100/((-1)*H255))+1)))*(IF(I255="",1,IF(I255&gt;0,(I255/100)+1,(100/((-1)*I255))+1)))*(IF(J255="",1,IF(J255&gt;0,(J255/100)+1,(100/((-1)*J255))+1)))*(IF(K255="",1,IF(K255&gt;0,(K255/100)+1,(100/((-1)*K255))+1)))*(IF(L255="",1,IF(L255&gt;0,(L255/100)+1,(100/((-1)*L255))+1))))-1)),((((IF(C255="",1,IF(C255&gt;0,(C255/100)+1,(100/((-1)*C255))+1)))*(IF(D255="",1,IF(D255&gt;0,(D255/100)+1,(100/((-1)*D255))+1)))*(IF(E255="",1,IF(E255&gt;0,(E255/100)+1,(100/((-1)*E255))+1)))*(IF(F255="",1,IF(F255&gt;0,(F255/100)+1,(100/((-1)*F255))+1)))*(IF(G255="",1,IF(G255&gt;0,(G255/100)+1,(100/((-1)*G255))+1)))*(IF(H255="",1,IF(H255&gt;0,(H255/100)+1,(100/((-1)*H255))+1)))*(IF(I255="",1,IF(I255&gt;0,(I255/100)+1,(100/((-1)*I255))+1)))*(IF(J255="",1,IF(J255&gt;0,(J255/100)+1,(100/((-1)*J255))+1)))*(IF(K255="",1,IF(K255&gt;0,(K255/100)+1,(100/((-1)*K255))+1)))*(IF(L255="",1,IF(L255&gt;0,(L255/100)+1,(100/((-1)*L255))+1))))-1)*(100))))</f>
        <v>27034.24397</v>
      </c>
      <c r="P254" s="4"/>
      <c r="Q254" s="8" t="s">
        <v>35</v>
      </c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 ht="16.5" customHeight="1">
      <c r="A255" s="3" t="s">
        <v>13</v>
      </c>
      <c r="B255" s="2"/>
      <c r="C255" s="18">
        <f>'2025'!C108</f>
        <v>-159</v>
      </c>
      <c r="D255" s="18">
        <f>'2025'!D108</f>
        <v>-139</v>
      </c>
      <c r="E255" s="18">
        <f>'2025'!E108</f>
        <v>-128</v>
      </c>
      <c r="F255" s="18">
        <f>'2025'!F108</f>
        <v>-118</v>
      </c>
      <c r="G255" s="18">
        <f>'2025'!G108</f>
        <v>-114</v>
      </c>
      <c r="H255" s="18">
        <f>'2025'!H108</f>
        <v>-120</v>
      </c>
      <c r="I255" s="18">
        <f>'2025'!I108</f>
        <v>-120</v>
      </c>
      <c r="J255" s="18">
        <f>'2025'!J108</f>
        <v>-192</v>
      </c>
      <c r="K255" s="18">
        <f>'2025'!K108</f>
        <v>-105</v>
      </c>
      <c r="L255" s="18">
        <f>'2025'!L108</f>
        <v>-175</v>
      </c>
      <c r="M255" s="2">
        <v>9.0</v>
      </c>
      <c r="N255" s="3" t="s">
        <v>36</v>
      </c>
      <c r="O255" s="10">
        <f>IF(AND(C255="",AND(D255="",AND(E255="",AND(F255="",AND(G255="",AND(H255="",AND(I255="",AND(J255="",AND(K255="",L255=""))))))))),"",10+IF((IF(((IF(C255="",1,IF(C255&gt;0,(C255/100)+1,(100/((-1)*C255))+1)))*(IF(D255="",1,IF(D255&gt;0,(D255/100)+1,(100/((-1)*D255))+1)))*(IF(E255="",1,IF(E255&gt;0,(E255/100)+1,(100/((-1)*E255))+1)))*(IF(F255="",1,IF(F255&gt;0,(F255/100)+1,(100/((-1)*F255))+1)))*(IF(G255="",1,IF(G255&gt;0,(G255/100)+1,(100/((-1)*G255))+1)))*(IF(H255="",1,IF(H255&gt;0,(H255/100)+1,(100/((-1)*H255))+1)))*(IF(I255="",1,IF(I255&gt;0,(I255/100)+1,(100/((-1)*I255))+1)))*(IF(J255="",1,IF(J255&gt;0,(J255/100)+1,(100/((-1)*J255))+1)))*(IF(K255="",1,IF(K255&gt;0,(K255/100)+1,(100/((-1)*K255))+1)))*(IF(L255="",1,IF(L255&gt;0,(L255/100)+1,(100/((-1)*L255))+1))))&lt;2,((-100)/(((IF(C255="",1,IF(C255&gt;0,(C255/100)+1,(100/((-1)*C255))+1)))*(IF(D255="",1,IF(D255&gt;0,(D255/100)+1,(100/((-1)*D255))+1)))*(IF(E255="",1,IF(E255&gt;0,(E255/100)+1,(100/((-1)*E255))+1)))*(IF(F255="",1,IF(F255&gt;0,(F255/100)+1,(100/((-1)*F255))+1)))*(IF(G255="",1,IF(G255&gt;0,(G255/100)+1,(100/((-1)*G255))+1)))*(IF(H255="",1,IF(H255&gt;0,(H255/100)+1,(100/((-1)*H255))+1)))*(IF(I255="",1,IF(I255&gt;0,(I255/100)+1,(100/((-1)*I255))+1)))*(IF(J255="",1,IF(J255&gt;0,(J255/100)+1,(100/((-1)*J255))+1)))*(IF(K255="",1,IF(K255&gt;0,(K255/100)+1,(100/((-1)*K255))+1)))*(IF(L255="",1,IF(L255&gt;0,(L255/100)+1,(100/((-1)*L255))+1))))-1)),((((IF(C255="",1,IF(C255&gt;0,(C255/100)+1,(100/((-1)*C255))+1)))*(IF(D255="",1,IF(D255&gt;0,(D255/100)+1,(100/((-1)*D255))+1)))*(IF(E255="",1,IF(E255&gt;0,(E255/100)+1,(100/((-1)*E255))+1)))*(IF(F255="",1,IF(F255&gt;0,(F255/100)+1,(100/((-1)*F255))+1)))*(IF(G255="",1,IF(G255&gt;0,(G255/100)+1,(100/((-1)*G255))+1)))*(IF(H255="",1,IF(H255&gt;0,(H255/100)+1,(100/((-1)*H255))+1)))*(IF(I255="",1,IF(I255&gt;0,(I255/100)+1,(100/((-1)*I255))+1)))*(IF(J255="",1,IF(J255&gt;0,(J255/100)+1,(100/((-1)*J255))+1)))*(IF(K255="",1,IF(K255&gt;0,(K255/100)+1,(100/((-1)*K255))+1)))*(IF(L255="",1,IF(L255&gt;0,(L255/100)+1,(100/((-1)*L255))+1))))-1)*(100))))&lt;0,(((-100)/((IF(((IF(C255="",1,IF(C255&gt;0,(C255/100)+1,(100/((-1)*C255))+1)))*(IF(D255="",1,IF(D255&gt;0,(D255/100)+1,(100/((-1)*D255))+1)))*(IF(E255="",1,IF(E255&gt;0,(E255/100)+1,(100/((-1)*E255))+1)))*(IF(F255="",1,IF(F255&gt;0,(F255/100)+1,(100/((-1)*F255))+1)))*(IF(G255="",1,IF(G255&gt;0,(G255/100)+1,(100/((-1)*G255))+1)))*(IF(H255="",1,IF(H255&gt;0,(H255/100)+1,(100/((-1)*H255))+1)))*(IF(I255="",1,IF(I255&gt;0,(I255/100)+1,(100/((-1)*I255))+1)))*(IF(J255="",1,IF(J255&gt;0,(J255/100)+1,(100/((-1)*J255))+1)))*(IF(K255="",1,IF(K255&gt;0,(K255/100)+1,(100/((-1)*K255))+1)))*(IF(L255="",1,IF(L255&gt;0,(L255/100)+1,(100/((-1)*L255))+1))))&lt;2,((-100)/(((IF(C255="",1,IF(C255&gt;0,(C255/100)+1,(100/((-1)*C255))+1)))*(IF(D255="",1,IF(D255&gt;0,(D255/100)+1,(100/((-1)*D255))+1)))*(IF(E255="",1,IF(E255&gt;0,(E255/100)+1,(100/((-1)*E255))+1)))*(IF(F255="",1,IF(F255&gt;0,(F255/100)+1,(100/((-1)*F255))+1)))*(IF(G255="",1,IF(G255&gt;0,(G255/100)+1,(100/((-1)*G255))+1)))*(IF(H255="",1,IF(H255&gt;0,(H255/100)+1,(100/((-1)*H255))+1)))*(IF(I255="",1,IF(I255&gt;0,(I255/100)+1,(100/((-1)*I255))+1)))*(IF(J255="",1,IF(J255&gt;0,(J255/100)+1,(100/((-1)*J255))+1)))*(IF(K255="",1,IF(K255&gt;0,(K255/100)+1,(100/((-1)*K255))+1)))*(IF(L255="",1,IF(L255&gt;0,(L255/100)+1,(100/((-1)*L255))+1))))-1)),((((IF(C255="",1,IF(C255&gt;0,(C255/100)+1,(100/((-1)*C255))+1)))*(IF(D255="",1,IF(D255&gt;0,(D255/100)+1,(100/((-1)*D255))+1)))*(IF(E255="",1,IF(E255&gt;0,(E255/100)+1,(100/((-1)*E255))+1)))*(IF(F255="",1,IF(F255&gt;0,(F255/100)+1,(100/((-1)*F255))+1)))*(IF(G255="",1,IF(G255&gt;0,(G255/100)+1,(100/((-1)*G255))+1)))*(IF(H255="",1,IF(H255&gt;0,(H255/100)+1,(100/((-1)*H255))+1)))*(IF(I255="",1,IF(I255&gt;0,(I255/100)+1,(100/((-1)*I255))+1)))*(IF(J255="",1,IF(J255&gt;0,(J255/100)+1,(100/((-1)*J255))+1)))*(IF(K255="",1,IF(K255&gt;0,(K255/100)+1,(100/((-1)*K255))+1)))*(IF(L255="",1,IF(L255&gt;0,(L255/100)+1,(100/((-1)*L255))+1))))-1)*(100))))))*10),(((IF(((IF(C255="",1,IF(C255&gt;0,(C255/100)+1,(100/((-1)*C255))+1)))*(IF(D255="",1,IF(D255&gt;0,(D255/100)+1,(100/((-1)*D255))+1)))*(IF(E255="",1,IF(E255&gt;0,(E255/100)+1,(100/((-1)*E255))+1)))*(IF(F255="",1,IF(F255&gt;0,(F255/100)+1,(100/((-1)*F255))+1)))*(IF(G255="",1,IF(G255&gt;0,(G255/100)+1,(100/((-1)*G255))+1)))*(IF(H255="",1,IF(H255&gt;0,(H255/100)+1,(100/((-1)*H255))+1)))*(IF(I255="",1,IF(I255&gt;0,(I255/100)+1,(100/((-1)*I255))+1)))*(IF(J255="",1,IF(J255&gt;0,(J255/100)+1,(100/((-1)*J255))+1)))*(IF(K255="",1,IF(K255&gt;0,(K255/100)+1,(100/((-1)*K255))+1)))*(IF(L255="",1,IF(L255&gt;0,(L255/100)+1,(100/((-1)*L255))+1))))&lt;2,((-100)/(((IF(C255="",1,IF(C255&gt;0,(C255/100)+1,(100/((-1)*C255))+1)))*(IF(D255="",1,IF(D255&gt;0,(D255/100)+1,(100/((-1)*D255))+1)))*(IF(E255="",1,IF(E255&gt;0,(E255/100)+1,(100/((-1)*E255))+1)))*(IF(F255="",1,IF(F255&gt;0,(F255/100)+1,(100/((-1)*F255))+1)))*(IF(G255="",1,IF(G255&gt;0,(G255/100)+1,(100/((-1)*G255))+1)))*(IF(H255="",1,IF(H255&gt;0,(H255/100)+1,(100/((-1)*H255))+1)))*(IF(I255="",1,IF(I255&gt;0,(I255/100)+1,(100/((-1)*I255))+1)))*(IF(J255="",1,IF(J255&gt;0,(J255/100)+1,(100/((-1)*J255))+1)))*(IF(K255="",1,IF(K255&gt;0,(K255/100)+1,(100/((-1)*K255))+1)))*(IF(L255="",1,IF(L255&gt;0,(L255/100)+1,(100/((-1)*L255))+1))))-1)),((((IF(C255="",1,IF(C255&gt;0,(C255/100)+1,(100/((-1)*C255))+1)))*(IF(D255="",1,IF(D255&gt;0,(D255/100)+1,(100/((-1)*D255))+1)))*(IF(E255="",1,IF(E255&gt;0,(E255/100)+1,(100/((-1)*E255))+1)))*(IF(F255="",1,IF(F255&gt;0,(F255/100)+1,(100/((-1)*F255))+1)))*(IF(G255="",1,IF(G255&gt;0,(G255/100)+1,(100/((-1)*G255))+1)))*(IF(H255="",1,IF(H255&gt;0,(H255/100)+1,(100/((-1)*H255))+1)))*(IF(I255="",1,IF(I255&gt;0,(I255/100)+1,(100/((-1)*I255))+1)))*(IF(J255="",1,IF(J255&gt;0,(J255/100)+1,(100/((-1)*J255))+1)))*(IF(K255="",1,IF(K255&gt;0,(K255/100)+1,(100/((-1)*K255))+1)))*(IF(L255="",1,IF(L255&gt;0,(L255/100)+1,(100/((-1)*L255))+1))))-1)*(100))))/100)*10)))</f>
        <v>2713.424397</v>
      </c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 ht="16.5" customHeight="1">
      <c r="A256" s="3" t="s">
        <v>37</v>
      </c>
      <c r="B256" s="2"/>
      <c r="C256" s="18" t="str">
        <f>'2025'!C109</f>
        <v>Chargers @ Titans</v>
      </c>
      <c r="D256" s="18" t="str">
        <f>'2025'!D109</f>
        <v>Chiefs @ Bills</v>
      </c>
      <c r="E256" s="18" t="str">
        <f>'2025'!E109</f>
        <v>Seahawks @ Commanders</v>
      </c>
      <c r="F256" s="18" t="str">
        <f>'2025'!F109</f>
        <v>Jaguars @ Raiders</v>
      </c>
      <c r="G256" s="18" t="str">
        <f>'2025'!G109</f>
        <v>Panthers @ Packers</v>
      </c>
      <c r="H256" s="18" t="str">
        <f>'2025'!H109</f>
        <v>Falcons @ Patriots</v>
      </c>
      <c r="I256" s="18" t="str">
        <f>'2025'!I109</f>
        <v>49ers @ Giants</v>
      </c>
      <c r="J256" s="18" t="str">
        <f>'2025'!J109</f>
        <v>Colts @ Steelers</v>
      </c>
      <c r="K256" s="18" t="str">
        <f>'2025'!K109</f>
        <v>Broncos @ Texans</v>
      </c>
      <c r="L256" s="18" t="str">
        <f>'2025'!L109</f>
        <v>Cardinals @ Cowboys</v>
      </c>
      <c r="M256" s="2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 ht="16.5" customHeight="1">
      <c r="A257" s="3" t="s">
        <v>48</v>
      </c>
      <c r="B257" s="2"/>
      <c r="C257" s="18" t="str">
        <f>'2025'!C110</f>
        <v/>
      </c>
      <c r="D257" s="18" t="str">
        <f>'2025'!D110</f>
        <v>21-28</v>
      </c>
      <c r="E257" s="18" t="str">
        <f>'2025'!E110</f>
        <v>1 Field Goal</v>
      </c>
      <c r="F257" s="18" t="str">
        <f>'2025'!F110</f>
        <v>30-29</v>
      </c>
      <c r="G257" s="18" t="str">
        <f>'2025'!G110</f>
        <v>58 Rec. Yards</v>
      </c>
      <c r="H257" s="18" t="str">
        <f>'2025'!H110</f>
        <v>23-24</v>
      </c>
      <c r="I257" s="18" t="str">
        <f>'2025'!I110</f>
        <v>106 Rush Yards</v>
      </c>
      <c r="J257" s="18" t="str">
        <f>'2025'!J110</f>
        <v>20-27</v>
      </c>
      <c r="K257" s="18" t="str">
        <f>'2025'!K110</f>
        <v>18-15</v>
      </c>
      <c r="L257" s="18" t="str">
        <f>'2025'!L110</f>
        <v>27-17</v>
      </c>
      <c r="M257" s="2"/>
      <c r="N257" s="4"/>
      <c r="O257" s="3" t="s">
        <v>56</v>
      </c>
      <c r="P257" s="3" t="s">
        <v>57</v>
      </c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 ht="16.5" customHeight="1">
      <c r="A258" s="3" t="s">
        <v>59</v>
      </c>
      <c r="B258" s="2"/>
      <c r="C258" s="18" t="str">
        <f>'2025'!C111</f>
        <v>W</v>
      </c>
      <c r="D258" s="18" t="str">
        <f>'2025'!D111</f>
        <v>W</v>
      </c>
      <c r="E258" s="18" t="str">
        <f>'2025'!E111</f>
        <v>L</v>
      </c>
      <c r="F258" s="18" t="str">
        <f>'2025'!F111</f>
        <v>L</v>
      </c>
      <c r="G258" s="18" t="str">
        <f>'2025'!G111</f>
        <v>W</v>
      </c>
      <c r="H258" s="18" t="str">
        <f>'2025'!H111</f>
        <v>L</v>
      </c>
      <c r="I258" s="18" t="str">
        <f>'2025'!I111</f>
        <v>W</v>
      </c>
      <c r="J258" s="18" t="str">
        <f>'2025'!J111</f>
        <v>L</v>
      </c>
      <c r="K258" s="18" t="str">
        <f>'2025'!K111</f>
        <v>W</v>
      </c>
      <c r="L258" s="18" t="str">
        <f>'2025'!L111</f>
        <v>L</v>
      </c>
      <c r="M258" s="2"/>
      <c r="N258" s="3" t="s">
        <v>65</v>
      </c>
      <c r="O258" s="12" t="str">
        <f>IFERROR(__xludf.DUMMYFUNCTION("IF(OR(COUNTA(C255:L255) = 0, COUNTA(C258:L258) = 0), """", IFERROR(TEXTJOIN("", "", TRUE, FILTER(C252:L252, (C258:L258 = ""W"") * (C255:L255 = MAX(FILTER(C255:L255, C258:L258 = ""W""))))), """"))"),"Taylon")</f>
        <v>Taylon</v>
      </c>
      <c r="P258" s="12" t="str">
        <f>IFERROR(__xludf.DUMMYFUNCTION("IF(COUNTA(C263:L263) = 0, """", IFERROR(TEXTJOIN("", "", TRUE, FILTER(C252:L252, C263:L263 = MAX(C263:L263))), """"))"),"Carson")</f>
        <v>Carson</v>
      </c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 ht="16.5" customHeight="1">
      <c r="A259" s="1" t="s">
        <v>81</v>
      </c>
      <c r="B259" s="2"/>
      <c r="C259" s="4">
        <f t="shared" ref="C259:L259" si="77">IF(OR(C255="",C258=""),"",C246+COUNTIF(C258,"W"))</f>
        <v>13</v>
      </c>
      <c r="D259" s="4">
        <f t="shared" si="77"/>
        <v>16</v>
      </c>
      <c r="E259" s="4">
        <f t="shared" si="77"/>
        <v>11</v>
      </c>
      <c r="F259" s="4">
        <f t="shared" si="77"/>
        <v>12</v>
      </c>
      <c r="G259" s="4">
        <f t="shared" si="77"/>
        <v>12</v>
      </c>
      <c r="H259" s="4">
        <f t="shared" si="77"/>
        <v>11</v>
      </c>
      <c r="I259" s="4">
        <f t="shared" si="77"/>
        <v>8</v>
      </c>
      <c r="J259" s="4">
        <f t="shared" si="77"/>
        <v>11</v>
      </c>
      <c r="K259" s="4">
        <f t="shared" si="77"/>
        <v>9</v>
      </c>
      <c r="L259" s="4">
        <f t="shared" si="77"/>
        <v>12</v>
      </c>
      <c r="M259" s="2"/>
      <c r="N259" s="3" t="s">
        <v>82</v>
      </c>
      <c r="O259" s="4" t="str">
        <f>IFERROR(__xludf.DUMMYFUNCTION("IF(OR(COUNTA(C255:L255) = 0, COUNTA(C258:L258) = 0), """", IFERROR(TEXTJOIN("", "", TRUE, FILTER(C252:L252, (C258:L258 = ""L"") * (C255:L255 = MIN(FILTER(C255:L255, C258:L258 = ""L""))))), """"))"),"Tanner")</f>
        <v>Tanner</v>
      </c>
      <c r="P259" s="12" t="str">
        <f>IFERROR(__xludf.DUMMYFUNCTION("IF(COUNTA(C263:L263) = 0, """", IFERROR(TEXTJOIN("", "", TRUE, FILTER(C252:L252, C263:L263 = MIN(C263:L263))), """"))"),"Nick")</f>
        <v>Nick</v>
      </c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 ht="16.5" customHeight="1">
      <c r="A260" s="1" t="s">
        <v>83</v>
      </c>
      <c r="B260" s="2"/>
      <c r="C260" s="27">
        <f t="shared" ref="C260:L260" si="78">IF(OR(C255="",C258=""),"",C247+COUNTIF(C258,"L"))</f>
        <v>7</v>
      </c>
      <c r="D260" s="27">
        <f t="shared" si="78"/>
        <v>4</v>
      </c>
      <c r="E260" s="27">
        <f t="shared" si="78"/>
        <v>9</v>
      </c>
      <c r="F260" s="27">
        <f t="shared" si="78"/>
        <v>8</v>
      </c>
      <c r="G260" s="27">
        <f t="shared" si="78"/>
        <v>8</v>
      </c>
      <c r="H260" s="27">
        <f t="shared" si="78"/>
        <v>9</v>
      </c>
      <c r="I260" s="27">
        <f t="shared" si="78"/>
        <v>12</v>
      </c>
      <c r="J260" s="27">
        <f t="shared" si="78"/>
        <v>9</v>
      </c>
      <c r="K260" s="27">
        <f t="shared" si="78"/>
        <v>11</v>
      </c>
      <c r="L260" s="27">
        <f t="shared" si="78"/>
        <v>8</v>
      </c>
      <c r="M260" s="2"/>
      <c r="N260" s="3" t="s">
        <v>84</v>
      </c>
      <c r="O260" s="12" t="str">
        <f>IFERROR(__xludf.DUMMYFUNCTION("IF(COUNTA(C255:L255) = 0, """", IFERROR(TEXTJOIN("", "", TRUE, FILTER(C252:L252, C255:L255 = MAX(C255:L255))), """"))"),"Taylon")</f>
        <v>Taylon</v>
      </c>
      <c r="P260" s="4" t="str">
        <f>IFERROR(__xludf.DUMMYFUNCTION("IF(COUNTA(C255:L255) = 0, """", IFERROR(TEXTJOIN("", "", TRUE, FILTER(C252:L252, C262:L262 = MAX(C262:L262))), """"))"),"Jake")</f>
        <v>Jake</v>
      </c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 ht="16.5" customHeight="1">
      <c r="A261" s="3" t="s">
        <v>85</v>
      </c>
      <c r="B261" s="2"/>
      <c r="C261" s="24">
        <f t="shared" ref="C261:L261" si="79">IF(OR(C255="",C258=""),"",(C259/(C259+C260)))</f>
        <v>0.65</v>
      </c>
      <c r="D261" s="24">
        <f t="shared" si="79"/>
        <v>0.8</v>
      </c>
      <c r="E261" s="24">
        <f t="shared" si="79"/>
        <v>0.55</v>
      </c>
      <c r="F261" s="24">
        <f t="shared" si="79"/>
        <v>0.6</v>
      </c>
      <c r="G261" s="24">
        <f t="shared" si="79"/>
        <v>0.6</v>
      </c>
      <c r="H261" s="24">
        <f t="shared" si="79"/>
        <v>0.55</v>
      </c>
      <c r="I261" s="24">
        <f t="shared" si="79"/>
        <v>0.4</v>
      </c>
      <c r="J261" s="24">
        <f t="shared" si="79"/>
        <v>0.55</v>
      </c>
      <c r="K261" s="24">
        <f t="shared" si="79"/>
        <v>0.45</v>
      </c>
      <c r="L261" s="24">
        <f t="shared" si="79"/>
        <v>0.6</v>
      </c>
      <c r="M261" s="14"/>
      <c r="N261" s="3" t="s">
        <v>86</v>
      </c>
      <c r="O261" s="4" t="str">
        <f>IFERROR(__xludf.DUMMYFUNCTION("IF(COUNTA(C255:L255) = 0, """", IFERROR(TEXTJOIN("", "", TRUE, FILTER(C252:L252, C255:L255 = MIN(C255:L255))), """"))"),"Tanner")</f>
        <v>Tanner</v>
      </c>
      <c r="P261" s="4" t="str">
        <f>IFERROR(__xludf.DUMMYFUNCTION("IF(COUNTA(C255:L255) = 0, """", IFERROR(TEXTJOIN("", "", TRUE, FILTER(C252:L252, C262:L262 = MIN(C262:L262))), """"))"),"Carson")</f>
        <v>Carson</v>
      </c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 ht="16.5" customHeight="1">
      <c r="A262" s="3" t="s">
        <v>87</v>
      </c>
      <c r="B262" s="2"/>
      <c r="C262" s="25">
        <f t="shared" ref="C262:L262" si="80">IF(C255="","",IF(((IF(C255 &lt;0,((-100/C255)+1),((C255/100)+1))+(IF(C249&lt;0,((-100/C249)+1),((C249/100)+1)))*(C246+C247))/(C246+C247+1))&lt;2,(-100/(((IF(C255 &lt;0,((-100/C255)+1),((C255/100)+1))+(IF(C249&lt;0,((-100/C249)+1),((C249/100)+1)))*(C246+C247))/(C246+C247+1))-1)),(((IF(C255 &lt;0,((-100/C255)+1),((C255/100)+1))+(IF(C249&lt;0,((-100/C249)+1),((C249/100)+1)))*(C246+C247))/(C246+C247+1))-1)*100))</f>
        <v>-120.3944012</v>
      </c>
      <c r="D262" s="25">
        <f t="shared" si="80"/>
        <v>-132.992112</v>
      </c>
      <c r="E262" s="25">
        <f t="shared" si="80"/>
        <v>-119.1941871</v>
      </c>
      <c r="F262" s="25">
        <f t="shared" si="80"/>
        <v>-121.8774482</v>
      </c>
      <c r="G262" s="25">
        <f t="shared" si="80"/>
        <v>-104.5534431</v>
      </c>
      <c r="H262" s="25">
        <f t="shared" si="80"/>
        <v>104.4812846</v>
      </c>
      <c r="I262" s="25">
        <f t="shared" si="80"/>
        <v>-122.5468595</v>
      </c>
      <c r="J262" s="25">
        <f t="shared" si="80"/>
        <v>-123.2174204</v>
      </c>
      <c r="K262" s="25">
        <f t="shared" si="80"/>
        <v>-116.6134641</v>
      </c>
      <c r="L262" s="25">
        <f t="shared" si="80"/>
        <v>-110.2352036</v>
      </c>
      <c r="M262" s="14"/>
      <c r="N262" s="4"/>
      <c r="O262" s="12"/>
      <c r="P262" s="12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 ht="16.5" customHeight="1">
      <c r="A263" s="16" t="s">
        <v>88</v>
      </c>
      <c r="B263" s="2"/>
      <c r="C263" s="26">
        <f>IFERROR(__xludf.DUMMYFUNCTION("IF(OR(C255="""",C258=""""),"""",IF(REGEXMATCH(C258,""W""),IF(C255&lt;0,((-100/C255))*10+C250,((C255/100)*10+C250)),-10+C250))"),31.890639938430088)</f>
        <v>31.89063994</v>
      </c>
      <c r="D263" s="26">
        <f>IFERROR(__xludf.DUMMYFUNCTION("IF(OR(D255="""",D258=""""),"""",IF(REGEXMATCH(D258,""W""),IF(D255&lt;0,((-100/D255))*10+D250,((D255/100)*10+D250)),-10+D250))"),76.18814328105512)</f>
        <v>76.18814328</v>
      </c>
      <c r="E263" s="26">
        <f>IFERROR(__xludf.DUMMYFUNCTION("IF(OR(E255="""",E258=""""),"""",IF(REGEXMATCH(E258,""W""),IF(E255&lt;0,((-100/E255))*10+E250,((E255/100)*10+E250)),-10+E250))"),3.3027746564716534)</f>
        <v>3.302774656</v>
      </c>
      <c r="F263" s="26">
        <f>IFERROR(__xludf.DUMMYFUNCTION("IF(OR(F255="""",F258=""""),"""",IF(REGEXMATCH(F258,""W""),IF(F255&lt;0,((-100/F255))*10+F250,((F255/100)*10+F250)),-10+F250))"),17.847837473712694)</f>
        <v>17.84783747</v>
      </c>
      <c r="G263" s="26">
        <f>IFERROR(__xludf.DUMMYFUNCTION("IF(OR(G255="""",G258=""""),"""",IF(REGEXMATCH(G258,""W""),IF(G255&lt;0,((-100/G255))*10+G250,((G255/100)*10+G250)),-10+G250))"),17.04922241052261)</f>
        <v>17.04922241</v>
      </c>
      <c r="H263" s="26">
        <f>IFERROR(__xludf.DUMMYFUNCTION("IF(OR(H255="""",H258=""""),"""",IF(REGEXMATCH(H258,""W""),IF(H255&lt;0,((-100/H255))*10+H250,((H255/100)*10+H250)),-10+H250))"),19.755975855521484)</f>
        <v>19.75597586</v>
      </c>
      <c r="I263" s="26">
        <f>IFERROR(__xludf.DUMMYFUNCTION("IF(OR(I255="""",I258=""""),"""",IF(REGEXMATCH(I258,""W""),IF(I255&lt;0,((-100/I255))*10+I250,((I255/100)*10+I250)),-10+I250))"),-67.73909976633811)</f>
        <v>-67.73909977</v>
      </c>
      <c r="J263" s="26">
        <f>IFERROR(__xludf.DUMMYFUNCTION("IF(OR(J255="""",J258=""""),"""",IF(REGEXMATCH(J258,""W""),IF(J255&lt;0,((-100/J255))*10+J250,((J255/100)*10+J250)),-10+J250))"),-1.0512329716113413)</f>
        <v>-1.051232972</v>
      </c>
      <c r="K263" s="26">
        <f>IFERROR(__xludf.DUMMYFUNCTION("IF(OR(K255="""",K258=""""),"""",IF(REGEXMATCH(K258,""W""),IF(K255&lt;0,((-100/K255))*10+K250,((K255/100)*10+K250)),-10+K250))"),-32.24863852078051)</f>
        <v>-32.24863852</v>
      </c>
      <c r="L263" s="26">
        <f>IFERROR(__xludf.DUMMYFUNCTION("IF(OR(L255="""",L258=""""),"""",IF(REGEXMATCH(L258,""W""),IF(L255&lt;0,((-100/L255))*10+L250,((L255/100)*10+L250)),-10+L250))"),33.22772342476634)</f>
        <v>33.22772342</v>
      </c>
      <c r="M263" s="14"/>
      <c r="N263" s="16" t="s">
        <v>89</v>
      </c>
      <c r="O263" s="10">
        <f>IFERROR(__xludf.DUMMYFUNCTION("IF(AND(C263="""",AND(D263="""",AND(E263="""",AND(F263="""",AND(G263="""",AND(H263="""",AND(I263="""",AND(J263="""",AND(K263="""",L263=""""))))))))),"""",(IF(C258="""",0,IF(REGEXMATCH(C258,""W""),IF(C255&lt;0,((-100/C255))*10,((C255/100)*10)),-10))+IF(D258="""&amp;""",0,IF(REGEXMATCH(D258,""W""),IF(D255&lt;0,((-100/D255))*10,((D255/100)*10)),-10))+IF(E258="""",0,IF(REGEXMATCH(E258,""W""),IF(E255&lt;0,((-100/E255))*10,((E255/100)*10)),-10))+IF(F258="""",0,IF(REGEXMATCH(F258,""W""),IF(F255&lt;0,((-100/F255))*10,((F255/100)*10)"&amp;"),-10))+IF(G258="""",0,IF(REGEXMATCH(G258,""W""),IF(G255&lt;0,((-100/G255))*10,((G255/100)*10)),-10))+IF(H258="""",0,IF(REGEXMATCH(H258,""W""),IF(H255&lt;0,((-100/H255))*10,((H255/100)*10)),-10))+IF(I258="""",0,IF(REGEXMATCH(I258,""W""),IF(I255&lt;0,((-100/I255))*"&amp;"10,((I255/100)*10)),-10))+IF(J258="""",0,IF(REGEXMATCH(J258,""W""),IF(J255&lt;0,((-100/J255))*10,((J255/100)*10)),-10))+IF(K258="""",0,IF(REGEXMATCH(K258,""W""),IF(K255&lt;0,((-100/K255))*10,((K255/100)*10)),-10))+IF(L258="""",0,IF(REGEXMATCH(L258,""W""),IF(L25"&amp;"5&lt;0,((-100/L255))*10,((L255/100)*10)),-10))))"),-9.887374537878566)</f>
        <v>-9.887374538</v>
      </c>
      <c r="P263" s="10">
        <f>IFERROR(__xludf.DUMMYFUNCTION("IF(AND(C263="""",AND(D263="""",AND(E263="""",AND(F263="""",AND(G263="""",AND(H263="""",AND(I263="""",AND(J263="""",AND(K263="""",L263=""""))))))))),"""",(P250+IF(C258="""",0,IF(REGEXMATCH(C258,""W""),IF(C255&lt;0,((-100/C255))*10,((C255/100)*10)),-10))+IF(D2"&amp;"58="""",0,IF(REGEXMATCH(D258,""W""),IF(D255&lt;0,((-100/D255))*10,((D255/100)*10)),-10))+IF(E258="""",0,IF(REGEXMATCH(E258,""W""),IF(E255&lt;0,((-100/E255))*10,((E255/100)*10)),-10))+IF(F258="""",0,IF(REGEXMATCH(F258,""W""),IF(F255&lt;0,((-100/F255))*10,((F255/100"&amp;")*10)),-10))+IF(G258="""",0,IF(REGEXMATCH(G258,""W""),IF(G255&lt;0,((-100/G255))*10,((G255/100)*10)),-10))+IF(H258="""",0,IF(REGEXMATCH(H258,""W""),IF(H255&lt;0,((-100/H255))*10,((H255/100)*10)),-10))+IF(I258="""",0,IF(REGEXMATCH(I258,""W""),IF(I255&lt;0,((-100/I2"&amp;"55))*10,((I255/100)*10)),-10))+IF(J258="""",0,IF(REGEXMATCH(J258,""W""),IF(J255&lt;0,((-100/J255))*10,((J255/100)*10)),-10))+IF(K258="""",0,IF(REGEXMATCH(K258,""W""),IF(K255&lt;0,((-100/K255))*10,((K255/100)*10)),-10))+IF(L258="""",0,IF(REGEXMATCH(L258,""W""),I"&amp;"F(L255&lt;0,((-100/L255))*10,((L255/100)*10)),-10))))"),98.22334578174993)</f>
        <v>98.22334578</v>
      </c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 ht="16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 ht="16.5" customHeight="1">
      <c r="A265" s="1" t="s">
        <v>272</v>
      </c>
      <c r="B265" s="2"/>
      <c r="C265" s="3" t="s">
        <v>1</v>
      </c>
      <c r="D265" s="3" t="s">
        <v>2</v>
      </c>
      <c r="E265" s="3" t="s">
        <v>3</v>
      </c>
      <c r="F265" s="3" t="s">
        <v>4</v>
      </c>
      <c r="G265" s="3" t="s">
        <v>5</v>
      </c>
      <c r="H265" s="3" t="s">
        <v>6</v>
      </c>
      <c r="I265" s="3" t="s">
        <v>7</v>
      </c>
      <c r="J265" s="3" t="s">
        <v>8</v>
      </c>
      <c r="K265" s="3" t="s">
        <v>9</v>
      </c>
      <c r="L265" s="3" t="s">
        <v>10</v>
      </c>
      <c r="M265" s="2"/>
      <c r="N265" s="4"/>
      <c r="O265" s="3" t="s">
        <v>11</v>
      </c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 ht="16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 ht="16.5" customHeight="1">
      <c r="A267" s="3" t="s">
        <v>12</v>
      </c>
      <c r="B267" s="2"/>
      <c r="C267" s="12" t="str">
        <f>'2025'!C120</f>
        <v>Lions -6.5</v>
      </c>
      <c r="D267" s="12" t="str">
        <f>'2025'!D120</f>
        <v>Chargers -2.5</v>
      </c>
      <c r="E267" s="12" t="str">
        <f>'2025'!E120</f>
        <v>T. Johnson Over 10.5 Rec. Yards</v>
      </c>
      <c r="F267" s="12" t="str">
        <f>'2025'!F120</f>
        <v>Over 49.5</v>
      </c>
      <c r="G267" s="12" t="str">
        <f>'2025'!G120</f>
        <v>J. Waddle Any Touchdown</v>
      </c>
      <c r="H267" s="12" t="str">
        <f>'2025'!H120</f>
        <v>Panthers -5.5</v>
      </c>
      <c r="I267" s="12" t="str">
        <f>'2025'!I120</f>
        <v>Patriots Moneyline</v>
      </c>
      <c r="J267" s="12" t="str">
        <f>'2025'!J120</f>
        <v>Under 42.5</v>
      </c>
      <c r="K267" s="12" t="str">
        <f>'2025'!K120</f>
        <v>Over 4.5 Total Touchdowns</v>
      </c>
      <c r="L267" s="12" t="str">
        <f>'2025'!L120</f>
        <v>Eagles +4.5</v>
      </c>
      <c r="M267" s="2"/>
      <c r="N267" s="3" t="s">
        <v>13</v>
      </c>
      <c r="O267" s="7">
        <f>IF(AND(C268="",AND(D268="",AND(E268="",AND(F268="",AND(G268="",AND(H268="",AND(I268="",AND(J268="",AND(K268="",L268=""))))))))),"",IF(((IF(C268="",1,IF(C268&gt;0,(C268/100)+1,(100/((-1)*C268))+1)))*(IF(D268="",1,IF(D268&gt;0,(D268/100)+1,(100/((-1)*D268))+1)))*(IF(E268="",1,IF(E268&gt;0,(E268/100)+1,(100/((-1)*E268))+1)))*(IF(F268="",1,IF(F268&gt;0,(F268/100)+1,(100/((-1)*F268))+1)))*(IF(G268="",1,IF(G268&gt;0,(G268/100)+1,(100/((-1)*G268))+1)))*(IF(H268="",1,IF(H268&gt;0,(H268/100)+1,(100/((-1)*H268))+1)))*(IF(I268="",1,IF(I268&gt;0,(I268/100)+1,(100/((-1)*I268))+1)))*(IF(J268="",1,IF(J268&gt;0,(J268/100)+1,(100/((-1)*J268))+1)))*(IF(K268="",1,IF(K268&gt;0,(K268/100)+1,(100/((-1)*K268))+1)))*(IF(L268="",1,IF(L268&gt;0,(L268/100)+1,(100/((-1)*L268))+1))))&lt;2,((-100)/(((IF(C268="",1,IF(C268&gt;0,(C268/100)+1,(100/((-1)*C268))+1)))*(IF(D268="",1,IF(D268&gt;0,(D268/100)+1,(100/((-1)*D268))+1)))*(IF(E268="",1,IF(E268&gt;0,(E268/100)+1,(100/((-1)*E268))+1)))*(IF(F268="",1,IF(F268&gt;0,(F268/100)+1,(100/((-1)*F268))+1)))*(IF(G268="",1,IF(G268&gt;0,(G268/100)+1,(100/((-1)*G268))+1)))*(IF(H268="",1,IF(H268&gt;0,(H268/100)+1,(100/((-1)*H268))+1)))*(IF(I268="",1,IF(I268&gt;0,(I268/100)+1,(100/((-1)*I268))+1)))*(IF(J268="",1,IF(J268&gt;0,(J268/100)+1,(100/((-1)*J268))+1)))*(IF(K268="",1,IF(K268&gt;0,(K268/100)+1,(100/((-1)*K268))+1)))*(IF(L268="",1,IF(L268&gt;0,(L268/100)+1,(100/((-1)*L268))+1))))-1)),((((IF(C268="",1,IF(C268&gt;0,(C268/100)+1,(100/((-1)*C268))+1)))*(IF(D268="",1,IF(D268&gt;0,(D268/100)+1,(100/((-1)*D268))+1)))*(IF(E268="",1,IF(E268&gt;0,(E268/100)+1,(100/((-1)*E268))+1)))*(IF(F268="",1,IF(F268&gt;0,(F268/100)+1,(100/((-1)*F268))+1)))*(IF(G268="",1,IF(G268&gt;0,(G268/100)+1,(100/((-1)*G268))+1)))*(IF(H268="",1,IF(H268&gt;0,(H268/100)+1,(100/((-1)*H268))+1)))*(IF(I268="",1,IF(I268&gt;0,(I268/100)+1,(100/((-1)*I268))+1)))*(IF(J268="",1,IF(J268&gt;0,(J268/100)+1,(100/((-1)*J268))+1)))*(IF(K268="",1,IF(K268&gt;0,(K268/100)+1,(100/((-1)*K268))+1)))*(IF(L268="",1,IF(L268&gt;0,(L268/100)+1,(100/((-1)*L268))+1))))-1)*(100))))</f>
        <v>42502.65062</v>
      </c>
      <c r="P267" s="4"/>
      <c r="Q267" s="8" t="s">
        <v>35</v>
      </c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 ht="16.5" customHeight="1">
      <c r="A268" s="3" t="s">
        <v>13</v>
      </c>
      <c r="B268" s="2"/>
      <c r="C268" s="18">
        <f>'2025'!C121</f>
        <v>-152</v>
      </c>
      <c r="D268" s="18">
        <f>'2025'!D121</f>
        <v>-130</v>
      </c>
      <c r="E268" s="18">
        <f>'2025'!E121</f>
        <v>-116</v>
      </c>
      <c r="F268" s="18">
        <f>'2025'!F121</f>
        <v>-111</v>
      </c>
      <c r="G268" s="18">
        <f>'2025'!G121</f>
        <v>140</v>
      </c>
      <c r="H268" s="18">
        <f>'2025'!H121</f>
        <v>-109</v>
      </c>
      <c r="I268" s="18">
        <f>'2025'!I121</f>
        <v>135</v>
      </c>
      <c r="J268" s="18">
        <f>'2025'!J121</f>
        <v>-185</v>
      </c>
      <c r="K268" s="18">
        <f>'2025'!K121</f>
        <v>-167</v>
      </c>
      <c r="L268" s="18">
        <f>'2025'!L121</f>
        <v>-185</v>
      </c>
      <c r="M268" s="2">
        <v>10.0</v>
      </c>
      <c r="N268" s="3" t="s">
        <v>36</v>
      </c>
      <c r="O268" s="10">
        <f>IF(AND(C268="",AND(D268="",AND(E268="",AND(F268="",AND(G268="",AND(H268="",AND(I268="",AND(J268="",AND(K268="",L268=""))))))))),"",10+IF((IF(((IF(C268="",1,IF(C268&gt;0,(C268/100)+1,(100/((-1)*C268))+1)))*(IF(D268="",1,IF(D268&gt;0,(D268/100)+1,(100/((-1)*D268))+1)))*(IF(E268="",1,IF(E268&gt;0,(E268/100)+1,(100/((-1)*E268))+1)))*(IF(F268="",1,IF(F268&gt;0,(F268/100)+1,(100/((-1)*F268))+1)))*(IF(G268="",1,IF(G268&gt;0,(G268/100)+1,(100/((-1)*G268))+1)))*(IF(H268="",1,IF(H268&gt;0,(H268/100)+1,(100/((-1)*H268))+1)))*(IF(I268="",1,IF(I268&gt;0,(I268/100)+1,(100/((-1)*I268))+1)))*(IF(J268="",1,IF(J268&gt;0,(J268/100)+1,(100/((-1)*J268))+1)))*(IF(K268="",1,IF(K268&gt;0,(K268/100)+1,(100/((-1)*K268))+1)))*(IF(L268="",1,IF(L268&gt;0,(L268/100)+1,(100/((-1)*L268))+1))))&lt;2,((-100)/(((IF(C268="",1,IF(C268&gt;0,(C268/100)+1,(100/((-1)*C268))+1)))*(IF(D268="",1,IF(D268&gt;0,(D268/100)+1,(100/((-1)*D268))+1)))*(IF(E268="",1,IF(E268&gt;0,(E268/100)+1,(100/((-1)*E268))+1)))*(IF(F268="",1,IF(F268&gt;0,(F268/100)+1,(100/((-1)*F268))+1)))*(IF(G268="",1,IF(G268&gt;0,(G268/100)+1,(100/((-1)*G268))+1)))*(IF(H268="",1,IF(H268&gt;0,(H268/100)+1,(100/((-1)*H268))+1)))*(IF(I268="",1,IF(I268&gt;0,(I268/100)+1,(100/((-1)*I268))+1)))*(IF(J268="",1,IF(J268&gt;0,(J268/100)+1,(100/((-1)*J268))+1)))*(IF(K268="",1,IF(K268&gt;0,(K268/100)+1,(100/((-1)*K268))+1)))*(IF(L268="",1,IF(L268&gt;0,(L268/100)+1,(100/((-1)*L268))+1))))-1)),((((IF(C268="",1,IF(C268&gt;0,(C268/100)+1,(100/((-1)*C268))+1)))*(IF(D268="",1,IF(D268&gt;0,(D268/100)+1,(100/((-1)*D268))+1)))*(IF(E268="",1,IF(E268&gt;0,(E268/100)+1,(100/((-1)*E268))+1)))*(IF(F268="",1,IF(F268&gt;0,(F268/100)+1,(100/((-1)*F268))+1)))*(IF(G268="",1,IF(G268&gt;0,(G268/100)+1,(100/((-1)*G268))+1)))*(IF(H268="",1,IF(H268&gt;0,(H268/100)+1,(100/((-1)*H268))+1)))*(IF(I268="",1,IF(I268&gt;0,(I268/100)+1,(100/((-1)*I268))+1)))*(IF(J268="",1,IF(J268&gt;0,(J268/100)+1,(100/((-1)*J268))+1)))*(IF(K268="",1,IF(K268&gt;0,(K268/100)+1,(100/((-1)*K268))+1)))*(IF(L268="",1,IF(L268&gt;0,(L268/100)+1,(100/((-1)*L268))+1))))-1)*(100))))&lt;0,(((-100)/((IF(((IF(C268="",1,IF(C268&gt;0,(C268/100)+1,(100/((-1)*C268))+1)))*(IF(D268="",1,IF(D268&gt;0,(D268/100)+1,(100/((-1)*D268))+1)))*(IF(E268="",1,IF(E268&gt;0,(E268/100)+1,(100/((-1)*E268))+1)))*(IF(F268="",1,IF(F268&gt;0,(F268/100)+1,(100/((-1)*F268))+1)))*(IF(G268="",1,IF(G268&gt;0,(G268/100)+1,(100/((-1)*G268))+1)))*(IF(H268="",1,IF(H268&gt;0,(H268/100)+1,(100/((-1)*H268))+1)))*(IF(I268="",1,IF(I268&gt;0,(I268/100)+1,(100/((-1)*I268))+1)))*(IF(J268="",1,IF(J268&gt;0,(J268/100)+1,(100/((-1)*J268))+1)))*(IF(K268="",1,IF(K268&gt;0,(K268/100)+1,(100/((-1)*K268))+1)))*(IF(L268="",1,IF(L268&gt;0,(L268/100)+1,(100/((-1)*L268))+1))))&lt;2,((-100)/(((IF(C268="",1,IF(C268&gt;0,(C268/100)+1,(100/((-1)*C268))+1)))*(IF(D268="",1,IF(D268&gt;0,(D268/100)+1,(100/((-1)*D268))+1)))*(IF(E268="",1,IF(E268&gt;0,(E268/100)+1,(100/((-1)*E268))+1)))*(IF(F268="",1,IF(F268&gt;0,(F268/100)+1,(100/((-1)*F268))+1)))*(IF(G268="",1,IF(G268&gt;0,(G268/100)+1,(100/((-1)*G268))+1)))*(IF(H268="",1,IF(H268&gt;0,(H268/100)+1,(100/((-1)*H268))+1)))*(IF(I268="",1,IF(I268&gt;0,(I268/100)+1,(100/((-1)*I268))+1)))*(IF(J268="",1,IF(J268&gt;0,(J268/100)+1,(100/((-1)*J268))+1)))*(IF(K268="",1,IF(K268&gt;0,(K268/100)+1,(100/((-1)*K268))+1)))*(IF(L268="",1,IF(L268&gt;0,(L268/100)+1,(100/((-1)*L268))+1))))-1)),((((IF(C268="",1,IF(C268&gt;0,(C268/100)+1,(100/((-1)*C268))+1)))*(IF(D268="",1,IF(D268&gt;0,(D268/100)+1,(100/((-1)*D268))+1)))*(IF(E268="",1,IF(E268&gt;0,(E268/100)+1,(100/((-1)*E268))+1)))*(IF(F268="",1,IF(F268&gt;0,(F268/100)+1,(100/((-1)*F268))+1)))*(IF(G268="",1,IF(G268&gt;0,(G268/100)+1,(100/((-1)*G268))+1)))*(IF(H268="",1,IF(H268&gt;0,(H268/100)+1,(100/((-1)*H268))+1)))*(IF(I268="",1,IF(I268&gt;0,(I268/100)+1,(100/((-1)*I268))+1)))*(IF(J268="",1,IF(J268&gt;0,(J268/100)+1,(100/((-1)*J268))+1)))*(IF(K268="",1,IF(K268&gt;0,(K268/100)+1,(100/((-1)*K268))+1)))*(IF(L268="",1,IF(L268&gt;0,(L268/100)+1,(100/((-1)*L268))+1))))-1)*(100))))))*10),(((IF(((IF(C268="",1,IF(C268&gt;0,(C268/100)+1,(100/((-1)*C268))+1)))*(IF(D268="",1,IF(D268&gt;0,(D268/100)+1,(100/((-1)*D268))+1)))*(IF(E268="",1,IF(E268&gt;0,(E268/100)+1,(100/((-1)*E268))+1)))*(IF(F268="",1,IF(F268&gt;0,(F268/100)+1,(100/((-1)*F268))+1)))*(IF(G268="",1,IF(G268&gt;0,(G268/100)+1,(100/((-1)*G268))+1)))*(IF(H268="",1,IF(H268&gt;0,(H268/100)+1,(100/((-1)*H268))+1)))*(IF(I268="",1,IF(I268&gt;0,(I268/100)+1,(100/((-1)*I268))+1)))*(IF(J268="",1,IF(J268&gt;0,(J268/100)+1,(100/((-1)*J268))+1)))*(IF(K268="",1,IF(K268&gt;0,(K268/100)+1,(100/((-1)*K268))+1)))*(IF(L268="",1,IF(L268&gt;0,(L268/100)+1,(100/((-1)*L268))+1))))&lt;2,((-100)/(((IF(C268="",1,IF(C268&gt;0,(C268/100)+1,(100/((-1)*C268))+1)))*(IF(D268="",1,IF(D268&gt;0,(D268/100)+1,(100/((-1)*D268))+1)))*(IF(E268="",1,IF(E268&gt;0,(E268/100)+1,(100/((-1)*E268))+1)))*(IF(F268="",1,IF(F268&gt;0,(F268/100)+1,(100/((-1)*F268))+1)))*(IF(G268="",1,IF(G268&gt;0,(G268/100)+1,(100/((-1)*G268))+1)))*(IF(H268="",1,IF(H268&gt;0,(H268/100)+1,(100/((-1)*H268))+1)))*(IF(I268="",1,IF(I268&gt;0,(I268/100)+1,(100/((-1)*I268))+1)))*(IF(J268="",1,IF(J268&gt;0,(J268/100)+1,(100/((-1)*J268))+1)))*(IF(K268="",1,IF(K268&gt;0,(K268/100)+1,(100/((-1)*K268))+1)))*(IF(L268="",1,IF(L268&gt;0,(L268/100)+1,(100/((-1)*L268))+1))))-1)),((((IF(C268="",1,IF(C268&gt;0,(C268/100)+1,(100/((-1)*C268))+1)))*(IF(D268="",1,IF(D268&gt;0,(D268/100)+1,(100/((-1)*D268))+1)))*(IF(E268="",1,IF(E268&gt;0,(E268/100)+1,(100/((-1)*E268))+1)))*(IF(F268="",1,IF(F268&gt;0,(F268/100)+1,(100/((-1)*F268))+1)))*(IF(G268="",1,IF(G268&gt;0,(G268/100)+1,(100/((-1)*G268))+1)))*(IF(H268="",1,IF(H268&gt;0,(H268/100)+1,(100/((-1)*H268))+1)))*(IF(I268="",1,IF(I268&gt;0,(I268/100)+1,(100/((-1)*I268))+1)))*(IF(J268="",1,IF(J268&gt;0,(J268/100)+1,(100/((-1)*J268))+1)))*(IF(K268="",1,IF(K268&gt;0,(K268/100)+1,(100/((-1)*K268))+1)))*(IF(L268="",1,IF(L268&gt;0,(L268/100)+1,(100/((-1)*L268))+1))))-1)*(100))))/100)*10)))</f>
        <v>4260.265062</v>
      </c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 ht="16.5" customHeight="1">
      <c r="A269" s="3" t="s">
        <v>37</v>
      </c>
      <c r="B269" s="2"/>
      <c r="C269" s="18" t="str">
        <f>'2025'!C122</f>
        <v>Lions @ Commanders</v>
      </c>
      <c r="D269" s="18" t="str">
        <f>'2025'!D122</f>
        <v>Steelers @ Chargers</v>
      </c>
      <c r="E269" s="18" t="str">
        <f>'2025'!E122</f>
        <v>Browns @ Jets</v>
      </c>
      <c r="F269" s="18" t="str">
        <f>'2025'!F122</f>
        <v>Ravens @ Vikings</v>
      </c>
      <c r="G269" s="18" t="str">
        <f>'2025'!G122</f>
        <v>Bills @ Dolphins</v>
      </c>
      <c r="H269" s="18" t="str">
        <f>'2025'!H122</f>
        <v>Saints @ Panthers</v>
      </c>
      <c r="I269" s="18" t="str">
        <f>'2025'!I122</f>
        <v>Patriots @ Buccaneers</v>
      </c>
      <c r="J269" s="18" t="str">
        <f>'2025'!J122</f>
        <v>Jaguars @ Texans</v>
      </c>
      <c r="K269" s="18" t="str">
        <f>'2025'!K122</f>
        <v>Cardinals @ Seahawks</v>
      </c>
      <c r="L269" s="18" t="str">
        <f>'2025'!L122</f>
        <v>Eagles @ Packers</v>
      </c>
      <c r="M269" s="2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 ht="16.5" customHeight="1">
      <c r="A270" s="3" t="s">
        <v>48</v>
      </c>
      <c r="B270" s="2"/>
      <c r="C270" s="18" t="str">
        <f>'2025'!C123</f>
        <v>44-22</v>
      </c>
      <c r="D270" s="32">
        <f>'2025'!D123</f>
        <v>45955</v>
      </c>
      <c r="E270" s="18" t="str">
        <f>'2025'!E123</f>
        <v>0 Rec. Yards</v>
      </c>
      <c r="F270" s="18" t="str">
        <f>'2025'!F123</f>
        <v>27-19</v>
      </c>
      <c r="G270" s="18" t="str">
        <f>'2025'!G123</f>
        <v>1 Touchdown</v>
      </c>
      <c r="H270" s="18" t="str">
        <f>'2025'!H123</f>
        <v>17-7</v>
      </c>
      <c r="I270" s="18" t="str">
        <f>'2025'!I123</f>
        <v>28-23</v>
      </c>
      <c r="J270" s="18" t="str">
        <f>'2025'!J123</f>
        <v>36-29</v>
      </c>
      <c r="K270" s="18" t="str">
        <f>'2025'!K123</f>
        <v>8 Touchdowns</v>
      </c>
      <c r="L270" s="32">
        <f>'2025'!L123</f>
        <v>45937</v>
      </c>
      <c r="M270" s="2"/>
      <c r="N270" s="4"/>
      <c r="O270" s="3" t="s">
        <v>56</v>
      </c>
      <c r="P270" s="3" t="s">
        <v>57</v>
      </c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 ht="16.5" customHeight="1">
      <c r="A271" s="3" t="s">
        <v>59</v>
      </c>
      <c r="B271" s="2"/>
      <c r="C271" s="18" t="str">
        <f>'2025'!C124</f>
        <v>W</v>
      </c>
      <c r="D271" s="18" t="str">
        <f>'2025'!D124</f>
        <v>W</v>
      </c>
      <c r="E271" s="18" t="str">
        <f>'2025'!E124</f>
        <v>L</v>
      </c>
      <c r="F271" s="18" t="str">
        <f>'2025'!F124</f>
        <v>L</v>
      </c>
      <c r="G271" s="18" t="str">
        <f>'2025'!G124</f>
        <v>W</v>
      </c>
      <c r="H271" s="18" t="str">
        <f>'2025'!H124</f>
        <v>L</v>
      </c>
      <c r="I271" s="18" t="str">
        <f>'2025'!I124</f>
        <v>W</v>
      </c>
      <c r="J271" s="18" t="str">
        <f>'2025'!J124</f>
        <v>L</v>
      </c>
      <c r="K271" s="18" t="str">
        <f>'2025'!K124</f>
        <v>W</v>
      </c>
      <c r="L271" s="18" t="str">
        <f>'2025'!L124</f>
        <v>W</v>
      </c>
      <c r="M271" s="2"/>
      <c r="N271" s="3" t="s">
        <v>65</v>
      </c>
      <c r="O271" s="12" t="str">
        <f>IFERROR(__xludf.DUMMYFUNCTION("IF(OR(COUNTA(C268:L268) = 0, COUNTA(C271:L271) = 0), """", IFERROR(TEXTJOIN("", "", TRUE, FILTER(C265:L265, (C271:L271 = ""W"") * (C268:L268 = MAX(FILTER(C268:L268, C271:L271 = ""W""))))), """"))"),"Hunter")</f>
        <v>Hunter</v>
      </c>
      <c r="P271" s="12" t="str">
        <f>IFERROR(__xludf.DUMMYFUNCTION("IF(COUNTA(C276:L276) = 0, """", IFERROR(TEXTJOIN("", "", TRUE, FILTER(C265:L265, C276:L276 = MAX(C276:L276))), """"))"),"Carson")</f>
        <v>Carson</v>
      </c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 ht="16.5" customHeight="1">
      <c r="A272" s="1" t="s">
        <v>81</v>
      </c>
      <c r="B272" s="2"/>
      <c r="C272" s="4">
        <f t="shared" ref="C272:L272" si="81">IF(OR(C268="",C271=""),"",C259+COUNTIF(C271,"W"))</f>
        <v>14</v>
      </c>
      <c r="D272" s="4">
        <f t="shared" si="81"/>
        <v>17</v>
      </c>
      <c r="E272" s="4">
        <f t="shared" si="81"/>
        <v>11</v>
      </c>
      <c r="F272" s="4">
        <f t="shared" si="81"/>
        <v>12</v>
      </c>
      <c r="G272" s="4">
        <f t="shared" si="81"/>
        <v>13</v>
      </c>
      <c r="H272" s="4">
        <f t="shared" si="81"/>
        <v>11</v>
      </c>
      <c r="I272" s="4">
        <f t="shared" si="81"/>
        <v>9</v>
      </c>
      <c r="J272" s="4">
        <f t="shared" si="81"/>
        <v>11</v>
      </c>
      <c r="K272" s="4">
        <f t="shared" si="81"/>
        <v>10</v>
      </c>
      <c r="L272" s="4">
        <f t="shared" si="81"/>
        <v>13</v>
      </c>
      <c r="M272" s="2"/>
      <c r="N272" s="3" t="s">
        <v>82</v>
      </c>
      <c r="O272" s="4" t="str">
        <f>IFERROR(__xludf.DUMMYFUNCTION("IF(OR(COUNTA(C268:L268) = 0, COUNTA(C271:L271) = 0), """", IFERROR(TEXTJOIN("", "", TRUE, FILTER(C265:L265, (C271:L271 = ""L"") * (C268:L268 = MIN(FILTER(C268:L268, C271:L271 = ""L""))))), """"))"),"Tanner")</f>
        <v>Tanner</v>
      </c>
      <c r="P272" s="12" t="str">
        <f>IFERROR(__xludf.DUMMYFUNCTION("IF(COUNTA(C276:L276) = 0, """", IFERROR(TEXTJOIN("", "", TRUE, FILTER(C265:L265, C276:L276 = MIN(C276:L276))), """"))"),"Nick")</f>
        <v>Nick</v>
      </c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 ht="16.5" customHeight="1">
      <c r="A273" s="1" t="s">
        <v>83</v>
      </c>
      <c r="B273" s="2"/>
      <c r="C273" s="27">
        <f t="shared" ref="C273:L273" si="82">IF(OR(C268="",C271=""),"",C260+COUNTIF(C271,"L"))</f>
        <v>7</v>
      </c>
      <c r="D273" s="27">
        <f t="shared" si="82"/>
        <v>4</v>
      </c>
      <c r="E273" s="27">
        <f t="shared" si="82"/>
        <v>10</v>
      </c>
      <c r="F273" s="27">
        <f t="shared" si="82"/>
        <v>9</v>
      </c>
      <c r="G273" s="27">
        <f t="shared" si="82"/>
        <v>8</v>
      </c>
      <c r="H273" s="27">
        <f t="shared" si="82"/>
        <v>10</v>
      </c>
      <c r="I273" s="27">
        <f t="shared" si="82"/>
        <v>12</v>
      </c>
      <c r="J273" s="27">
        <f t="shared" si="82"/>
        <v>10</v>
      </c>
      <c r="K273" s="27">
        <f t="shared" si="82"/>
        <v>11</v>
      </c>
      <c r="L273" s="27">
        <f t="shared" si="82"/>
        <v>8</v>
      </c>
      <c r="M273" s="2"/>
      <c r="N273" s="3" t="s">
        <v>84</v>
      </c>
      <c r="O273" s="12" t="str">
        <f>IFERROR(__xludf.DUMMYFUNCTION("IF(COUNTA(C268:L268) = 0, """", IFERROR(TEXTJOIN("", "", TRUE, FILTER(C265:L265, C268:L268 = MAX(C268:L268))), """"))"),"Hunter")</f>
        <v>Hunter</v>
      </c>
      <c r="P273" s="4" t="str">
        <f>IFERROR(__xludf.DUMMYFUNCTION("IF(COUNTA(C268:L268) = 0, """", IFERROR(TEXTJOIN("", "", TRUE, FILTER(C265:L265, C275:L275 = MAX(C275:L275))), """"))"),"Jake")</f>
        <v>Jake</v>
      </c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 ht="16.5" customHeight="1">
      <c r="A274" s="3" t="s">
        <v>85</v>
      </c>
      <c r="B274" s="2"/>
      <c r="C274" s="24">
        <f t="shared" ref="C274:L274" si="83">IF(OR(C268="",C271=""),"",(C272/(C272+C273)))</f>
        <v>0.6666666667</v>
      </c>
      <c r="D274" s="24">
        <f t="shared" si="83"/>
        <v>0.8095238095</v>
      </c>
      <c r="E274" s="24">
        <f t="shared" si="83"/>
        <v>0.5238095238</v>
      </c>
      <c r="F274" s="24">
        <f t="shared" si="83"/>
        <v>0.5714285714</v>
      </c>
      <c r="G274" s="24">
        <f t="shared" si="83"/>
        <v>0.619047619</v>
      </c>
      <c r="H274" s="24">
        <f t="shared" si="83"/>
        <v>0.5238095238</v>
      </c>
      <c r="I274" s="24">
        <f t="shared" si="83"/>
        <v>0.4285714286</v>
      </c>
      <c r="J274" s="24">
        <f t="shared" si="83"/>
        <v>0.5238095238</v>
      </c>
      <c r="K274" s="24">
        <f t="shared" si="83"/>
        <v>0.4761904762</v>
      </c>
      <c r="L274" s="24">
        <f t="shared" si="83"/>
        <v>0.619047619</v>
      </c>
      <c r="M274" s="14"/>
      <c r="N274" s="3" t="s">
        <v>86</v>
      </c>
      <c r="O274" s="4" t="str">
        <f>IFERROR(__xludf.DUMMYFUNCTION("IF(COUNTA(C268:L268) = 0, """", IFERROR(TEXTJOIN("", "", TRUE, FILTER(C265:L265, C268:L268 = MIN(C268:L268))), """"))"),"Tanner, Trey")</f>
        <v>Tanner, Trey</v>
      </c>
      <c r="P274" s="4" t="str">
        <f>IFERROR(__xludf.DUMMYFUNCTION("IF(COUNTA(C268:L268) = 0, """", IFERROR(TEXTJOIN("", "", TRUE, FILTER(C265:L265, C275:L275 = MIN(C275:L275))), """"))"),"Carson")</f>
        <v>Carson</v>
      </c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 ht="16.5" customHeight="1">
      <c r="A275" s="3" t="s">
        <v>87</v>
      </c>
      <c r="B275" s="2"/>
      <c r="C275" s="25">
        <f t="shared" ref="C275:L275" si="84">IF(C268="","",IF(((IF(C268 &lt;0,((-100/C268)+1),((C268/100)+1))+(IF(C262&lt;0,((-100/C262)+1),((C262/100)+1)))*(C259+C260))/(C259+C260+1))&lt;2,(-100/(((IF(C268 &lt;0,((-100/C268)+1),((C268/100)+1))+(IF(C262&lt;0,((-100/C262)+1),((C262/100)+1)))*(C259+C260))/(C259+C260+1))-1)),(((IF(C268 &lt;0,((-100/C268)+1),((C268/100)+1))+(IF(C262&lt;0,((-100/C262)+1),((C262/100)+1)))*(C259+C260))/(C259+C260+1))-1)*100))</f>
        <v>-121.5984083</v>
      </c>
      <c r="D275" s="25">
        <f t="shared" si="84"/>
        <v>-132.8465107</v>
      </c>
      <c r="E275" s="25">
        <f t="shared" si="84"/>
        <v>-119.0380992</v>
      </c>
      <c r="F275" s="25">
        <f t="shared" si="84"/>
        <v>-121.3113573</v>
      </c>
      <c r="G275" s="25">
        <f t="shared" si="84"/>
        <v>-102.2944494</v>
      </c>
      <c r="H275" s="25">
        <f t="shared" si="84"/>
        <v>103.8747053</v>
      </c>
      <c r="I275" s="25">
        <f t="shared" si="84"/>
        <v>-118.8435661</v>
      </c>
      <c r="J275" s="25">
        <f t="shared" si="84"/>
        <v>-125.2085941</v>
      </c>
      <c r="K275" s="25">
        <f t="shared" si="84"/>
        <v>-118.3133211</v>
      </c>
      <c r="L275" s="25">
        <f t="shared" si="84"/>
        <v>-112.3982492</v>
      </c>
      <c r="M275" s="14"/>
      <c r="N275" s="4"/>
      <c r="O275" s="12"/>
      <c r="P275" s="12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 ht="16.5" customHeight="1">
      <c r="A276" s="16" t="s">
        <v>88</v>
      </c>
      <c r="B276" s="2"/>
      <c r="C276" s="26">
        <f>IFERROR(__xludf.DUMMYFUNCTION("IF(OR(C268="""",C271=""""),"""",IF(REGEXMATCH(C271,""W""),IF(C268&lt;0,((-100/C268))*10+C263,((C268/100)*10+C263)),-10+C263))"),38.46958730685114)</f>
        <v>38.46958731</v>
      </c>
      <c r="D276" s="26">
        <f>IFERROR(__xludf.DUMMYFUNCTION("IF(OR(D268="""",D271=""""),"""",IF(REGEXMATCH(D271,""W""),IF(D268&lt;0,((-100/D268))*10+D263,((D268/100)*10+D263)),-10+D263))"),83.88045097336281)</f>
        <v>83.88045097</v>
      </c>
      <c r="E276" s="26">
        <f>IFERROR(__xludf.DUMMYFUNCTION("IF(OR(E268="""",E271=""""),"""",IF(REGEXMATCH(E271,""W""),IF(E268&lt;0,((-100/E268))*10+E263,((E268/100)*10+E263)),-10+E263))"),-6.697225343528347)</f>
        <v>-6.697225344</v>
      </c>
      <c r="F276" s="26">
        <f>IFERROR(__xludf.DUMMYFUNCTION("IF(OR(F268="""",F271=""""),"""",IF(REGEXMATCH(F271,""W""),IF(F268&lt;0,((-100/F268))*10+F263,((F268/100)*10+F263)),-10+F263))"),7.847837473712694)</f>
        <v>7.847837474</v>
      </c>
      <c r="G276" s="26">
        <f>IFERROR(__xludf.DUMMYFUNCTION("IF(OR(G268="""",G271=""""),"""",IF(REGEXMATCH(G271,""W""),IF(G268&lt;0,((-100/G268))*10+G263,((G268/100)*10+G263)),-10+G263))"),31.04922241052261)</f>
        <v>31.04922241</v>
      </c>
      <c r="H276" s="26">
        <f>IFERROR(__xludf.DUMMYFUNCTION("IF(OR(H268="""",H271=""""),"""",IF(REGEXMATCH(H271,""W""),IF(H268&lt;0,((-100/H268))*10+H263,((H268/100)*10+H263)),-10+H263))"),9.755975855521484)</f>
        <v>9.755975856</v>
      </c>
      <c r="I276" s="26">
        <f>IFERROR(__xludf.DUMMYFUNCTION("IF(OR(I268="""",I271=""""),"""",IF(REGEXMATCH(I271,""W""),IF(I268&lt;0,((-100/I268))*10+I263,((I268/100)*10+I263)),-10+I263))"),-54.239099766338114)</f>
        <v>-54.23909977</v>
      </c>
      <c r="J276" s="26">
        <f>IFERROR(__xludf.DUMMYFUNCTION("IF(OR(J268="""",J271=""""),"""",IF(REGEXMATCH(J271,""W""),IF(J268&lt;0,((-100/J268))*10+J263,((J268/100)*10+J263)),-10+J263))"),-11.051232971611341)</f>
        <v>-11.05123297</v>
      </c>
      <c r="K276" s="26">
        <f>IFERROR(__xludf.DUMMYFUNCTION("IF(OR(K268="""",K271=""""),"""",IF(REGEXMATCH(K271,""W""),IF(K268&lt;0,((-100/K268))*10+K263,((K268/100)*10+K263)),-10+K263))"),-26.2606145686847)</f>
        <v>-26.26061457</v>
      </c>
      <c r="L276" s="26">
        <f>IFERROR(__xludf.DUMMYFUNCTION("IF(OR(L268="""",L271=""""),"""",IF(REGEXMATCH(L271,""W""),IF(L268&lt;0,((-100/L268))*10+L263,((L268/100)*10+L263)),-10+L263))"),38.63312883017174)</f>
        <v>38.63312883</v>
      </c>
      <c r="M276" s="14"/>
      <c r="N276" s="16" t="s">
        <v>89</v>
      </c>
      <c r="O276" s="10">
        <f>IFERROR(__xludf.DUMMYFUNCTION("IF(AND(C276="""",AND(D276="""",AND(E276="""",AND(F276="""",AND(G276="""",AND(H276="""",AND(I276="""",AND(J276="""",AND(K276="""",L276=""""))))))))),"""",(IF(C271="""",0,IF(REGEXMATCH(C271,""W""),IF(C268&lt;0,((-100/C268))*10,((C268/100)*10)),-10))+IF(D271="""&amp;""",0,IF(REGEXMATCH(D271,""W""),IF(D268&lt;0,((-100/D268))*10,((D268/100)*10)),-10))+IF(E271="""",0,IF(REGEXMATCH(E271,""W""),IF(E268&lt;0,((-100/E268))*10,((E268/100)*10)),-10))+IF(F271="""",0,IF(REGEXMATCH(F271,""W""),IF(F268&lt;0,((-100/F268))*10,((F268/100)*10)"&amp;"),-10))+IF(G271="""",0,IF(REGEXMATCH(G271,""W""),IF(G268&lt;0,((-100/G268))*10,((G268/100)*10)),-10))+IF(H271="""",0,IF(REGEXMATCH(H271,""W""),IF(H268&lt;0,((-100/H268))*10,((H268/100)*10)),-10))+IF(I271="""",0,IF(REGEXMATCH(I271,""W""),IF(I268&lt;0,((-100/I268))*"&amp;"10,((I268/100)*10)),-10))+IF(J271="""",0,IF(REGEXMATCH(J271,""W""),IF(J268&lt;0,((-100/J268))*10,((J268/100)*10)),-10))+IF(K271="""",0,IF(REGEXMATCH(K271,""W""),IF(K268&lt;0,((-100/K268))*10,((K268/100)*10)),-10))+IF(L271="""",0,IF(REGEXMATCH(L271,""W""),IF(L26"&amp;"8&lt;0,((-100/L268))*10,((L268/100)*10)),-10))))"),13.164684418229957)</f>
        <v>13.16468442</v>
      </c>
      <c r="P276" s="10">
        <f>IFERROR(__xludf.DUMMYFUNCTION("IF(AND(C276="""",AND(D276="""",AND(E276="""",AND(F276="""",AND(G276="""",AND(H276="""",AND(I276="""",AND(J276="""",AND(K276="""",L276=""""))))))))),"""",(P263+IF(C271="""",0,IF(REGEXMATCH(C271,""W""),IF(C268&lt;0,((-100/C268))*10,((C268/100)*10)),-10))+IF(D2"&amp;"71="""",0,IF(REGEXMATCH(D271,""W""),IF(D268&lt;0,((-100/D268))*10,((D268/100)*10)),-10))+IF(E271="""",0,IF(REGEXMATCH(E271,""W""),IF(E268&lt;0,((-100/E268))*10,((E268/100)*10)),-10))+IF(F271="""",0,IF(REGEXMATCH(F271,""W""),IF(F268&lt;0,((-100/F268))*10,((F268/100"&amp;")*10)),-10))+IF(G271="""",0,IF(REGEXMATCH(G271,""W""),IF(G268&lt;0,((-100/G268))*10,((G268/100)*10)),-10))+IF(H271="""",0,IF(REGEXMATCH(H271,""W""),IF(H268&lt;0,((-100/H268))*10,((H268/100)*10)),-10))+IF(I271="""",0,IF(REGEXMATCH(I271,""W""),IF(I268&lt;0,((-100/I2"&amp;"68))*10,((I268/100)*10)),-10))+IF(J271="""",0,IF(REGEXMATCH(J271,""W""),IF(J268&lt;0,((-100/J268))*10,((J268/100)*10)),-10))+IF(K271="""",0,IF(REGEXMATCH(K271,""W""),IF(K268&lt;0,((-100/K268))*10,((K268/100)*10)),-10))+IF(L271="""",0,IF(REGEXMATCH(L271,""W""),I"&amp;"F(L268&lt;0,((-100/L268))*10,((L268/100)*10)),-10))))"),111.38803019997988)</f>
        <v>111.3880302</v>
      </c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 ht="16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 ht="16.5" customHeight="1">
      <c r="A278" s="1" t="s">
        <v>329</v>
      </c>
      <c r="B278" s="2"/>
      <c r="C278" s="3" t="s">
        <v>1</v>
      </c>
      <c r="D278" s="3" t="s">
        <v>2</v>
      </c>
      <c r="E278" s="3" t="s">
        <v>3</v>
      </c>
      <c r="F278" s="3" t="s">
        <v>4</v>
      </c>
      <c r="G278" s="3" t="s">
        <v>5</v>
      </c>
      <c r="H278" s="3" t="s">
        <v>6</v>
      </c>
      <c r="I278" s="3" t="s">
        <v>7</v>
      </c>
      <c r="J278" s="3" t="s">
        <v>8</v>
      </c>
      <c r="K278" s="3" t="s">
        <v>9</v>
      </c>
      <c r="L278" s="3" t="s">
        <v>10</v>
      </c>
      <c r="M278" s="2"/>
      <c r="N278" s="4"/>
      <c r="O278" s="3" t="s">
        <v>11</v>
      </c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 ht="16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 ht="16.5" customHeight="1">
      <c r="A280" s="3" t="s">
        <v>12</v>
      </c>
      <c r="B280" s="2"/>
      <c r="C280" s="12" t="str">
        <f>'2025'!C133</f>
        <v>Under 52.5</v>
      </c>
      <c r="D280" s="12" t="str">
        <f>'2025'!D133</f>
        <v>Chiefs -5.5</v>
      </c>
      <c r="E280" s="12" t="str">
        <f>'2025'!E133</f>
        <v>Vikings -2.5</v>
      </c>
      <c r="F280" s="12" t="str">
        <f>'2025'!F133</f>
        <v>Lions Moneyline</v>
      </c>
      <c r="G280" s="12" t="str">
        <f>'2025'!G133</f>
        <v>J. Love Over 256+ Pass Yards</v>
      </c>
      <c r="H280" s="12" t="str">
        <f>'2025'!H133</f>
        <v>Under 40.5</v>
      </c>
      <c r="I280" s="12" t="str">
        <f>'2025'!I133</f>
        <v>Over 41.5</v>
      </c>
      <c r="J280" s="12" t="str">
        <f>'2025'!J133</f>
        <v>Ravens -6.5</v>
      </c>
      <c r="K280" s="12" t="str">
        <f>'2025'!K133</f>
        <v>Chargers -2.5</v>
      </c>
      <c r="L280" s="12" t="str">
        <f>'2025'!L133</f>
        <v>J. "My" Smith-Njigba ATD</v>
      </c>
      <c r="M280" s="2"/>
      <c r="N280" s="3" t="s">
        <v>13</v>
      </c>
      <c r="O280" s="7">
        <f>IF(AND(C281="",AND(D281="",AND(E281="",AND(F281="",AND(G281="",AND(H281="",AND(I281="",AND(J281="",AND(K281="",L281=""))))))))),"",IF(((IF(C281="",1,IF(C281&gt;0,(C281/100)+1,(100/((-1)*C281))+1)))*(IF(D281="",1,IF(D281&gt;0,(D281/100)+1,(100/((-1)*D281))+1)))*(IF(E281="",1,IF(E281&gt;0,(E281/100)+1,(100/((-1)*E281))+1)))*(IF(F281="",1,IF(F281&gt;0,(F281/100)+1,(100/((-1)*F281))+1)))*(IF(G281="",1,IF(G281&gt;0,(G281/100)+1,(100/((-1)*G281))+1)))*(IF(H281="",1,IF(H281&gt;0,(H281/100)+1,(100/((-1)*H281))+1)))*(IF(I281="",1,IF(I281&gt;0,(I281/100)+1,(100/((-1)*I281))+1)))*(IF(J281="",1,IF(J281&gt;0,(J281/100)+1,(100/((-1)*J281))+1)))*(IF(K281="",1,IF(K281&gt;0,(K281/100)+1,(100/((-1)*K281))+1)))*(IF(L281="",1,IF(L281&gt;0,(L281/100)+1,(100/((-1)*L281))+1))))&lt;2,((-100)/(((IF(C281="",1,IF(C281&gt;0,(C281/100)+1,(100/((-1)*C281))+1)))*(IF(D281="",1,IF(D281&gt;0,(D281/100)+1,(100/((-1)*D281))+1)))*(IF(E281="",1,IF(E281&gt;0,(E281/100)+1,(100/((-1)*E281))+1)))*(IF(F281="",1,IF(F281&gt;0,(F281/100)+1,(100/((-1)*F281))+1)))*(IF(G281="",1,IF(G281&gt;0,(G281/100)+1,(100/((-1)*G281))+1)))*(IF(H281="",1,IF(H281&gt;0,(H281/100)+1,(100/((-1)*H281))+1)))*(IF(I281="",1,IF(I281&gt;0,(I281/100)+1,(100/((-1)*I281))+1)))*(IF(J281="",1,IF(J281&gt;0,(J281/100)+1,(100/((-1)*J281))+1)))*(IF(K281="",1,IF(K281&gt;0,(K281/100)+1,(100/((-1)*K281))+1)))*(IF(L281="",1,IF(L281&gt;0,(L281/100)+1,(100/((-1)*L281))+1))))-1)),((((IF(C281="",1,IF(C281&gt;0,(C281/100)+1,(100/((-1)*C281))+1)))*(IF(D281="",1,IF(D281&gt;0,(D281/100)+1,(100/((-1)*D281))+1)))*(IF(E281="",1,IF(E281&gt;0,(E281/100)+1,(100/((-1)*E281))+1)))*(IF(F281="",1,IF(F281&gt;0,(F281/100)+1,(100/((-1)*F281))+1)))*(IF(G281="",1,IF(G281&gt;0,(G281/100)+1,(100/((-1)*G281))+1)))*(IF(H281="",1,IF(H281&gt;0,(H281/100)+1,(100/((-1)*H281))+1)))*(IF(I281="",1,IF(I281&gt;0,(I281/100)+1,(100/((-1)*I281))+1)))*(IF(J281="",1,IF(J281&gt;0,(J281/100)+1,(100/((-1)*J281))+1)))*(IF(K281="",1,IF(K281&gt;0,(K281/100)+1,(100/((-1)*K281))+1)))*(IF(L281="",1,IF(L281&gt;0,(L281/100)+1,(100/((-1)*L281))+1))))-1)*(100))))</f>
        <v>48646.94528</v>
      </c>
      <c r="P280" s="4"/>
      <c r="Q280" s="8" t="s">
        <v>35</v>
      </c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 ht="16.5" customHeight="1">
      <c r="A281" s="3" t="s">
        <v>13</v>
      </c>
      <c r="B281" s="2"/>
      <c r="C281" s="18">
        <f>'2025'!C134</f>
        <v>-175</v>
      </c>
      <c r="D281" s="18">
        <f>'2025'!D134</f>
        <v>-109</v>
      </c>
      <c r="E281" s="18">
        <f>'2025'!E134</f>
        <v>-125</v>
      </c>
      <c r="F281" s="18">
        <f>'2025'!F134</f>
        <v>125</v>
      </c>
      <c r="G281" s="18">
        <f>'2025'!G134</f>
        <v>150</v>
      </c>
      <c r="H281" s="18">
        <f>'2025'!H134</f>
        <v>-159</v>
      </c>
      <c r="I281" s="18">
        <f>'2025'!I134</f>
        <v>-185</v>
      </c>
      <c r="J281" s="18">
        <f>'2025'!J134</f>
        <v>-145</v>
      </c>
      <c r="K281" s="18">
        <f>'2025'!K134</f>
        <v>-130</v>
      </c>
      <c r="L281" s="18">
        <f>'2025'!L134</f>
        <v>113</v>
      </c>
      <c r="M281" s="2">
        <v>11.0</v>
      </c>
      <c r="N281" s="3" t="s">
        <v>36</v>
      </c>
      <c r="O281" s="10">
        <f>IF(AND(C281="",AND(D281="",AND(E281="",AND(F281="",AND(G281="",AND(H281="",AND(I281="",AND(J281="",AND(K281="",L281=""))))))))),"",10+IF((IF(((IF(C281="",1,IF(C281&gt;0,(C281/100)+1,(100/((-1)*C281))+1)))*(IF(D281="",1,IF(D281&gt;0,(D281/100)+1,(100/((-1)*D281))+1)))*(IF(E281="",1,IF(E281&gt;0,(E281/100)+1,(100/((-1)*E281))+1)))*(IF(F281="",1,IF(F281&gt;0,(F281/100)+1,(100/((-1)*F281))+1)))*(IF(G281="",1,IF(G281&gt;0,(G281/100)+1,(100/((-1)*G281))+1)))*(IF(H281="",1,IF(H281&gt;0,(H281/100)+1,(100/((-1)*H281))+1)))*(IF(I281="",1,IF(I281&gt;0,(I281/100)+1,(100/((-1)*I281))+1)))*(IF(J281="",1,IF(J281&gt;0,(J281/100)+1,(100/((-1)*J281))+1)))*(IF(K281="",1,IF(K281&gt;0,(K281/100)+1,(100/((-1)*K281))+1)))*(IF(L281="",1,IF(L281&gt;0,(L281/100)+1,(100/((-1)*L281))+1))))&lt;2,((-100)/(((IF(C281="",1,IF(C281&gt;0,(C281/100)+1,(100/((-1)*C281))+1)))*(IF(D281="",1,IF(D281&gt;0,(D281/100)+1,(100/((-1)*D281))+1)))*(IF(E281="",1,IF(E281&gt;0,(E281/100)+1,(100/((-1)*E281))+1)))*(IF(F281="",1,IF(F281&gt;0,(F281/100)+1,(100/((-1)*F281))+1)))*(IF(G281="",1,IF(G281&gt;0,(G281/100)+1,(100/((-1)*G281))+1)))*(IF(H281="",1,IF(H281&gt;0,(H281/100)+1,(100/((-1)*H281))+1)))*(IF(I281="",1,IF(I281&gt;0,(I281/100)+1,(100/((-1)*I281))+1)))*(IF(J281="",1,IF(J281&gt;0,(J281/100)+1,(100/((-1)*J281))+1)))*(IF(K281="",1,IF(K281&gt;0,(K281/100)+1,(100/((-1)*K281))+1)))*(IF(L281="",1,IF(L281&gt;0,(L281/100)+1,(100/((-1)*L281))+1))))-1)),((((IF(C281="",1,IF(C281&gt;0,(C281/100)+1,(100/((-1)*C281))+1)))*(IF(D281="",1,IF(D281&gt;0,(D281/100)+1,(100/((-1)*D281))+1)))*(IF(E281="",1,IF(E281&gt;0,(E281/100)+1,(100/((-1)*E281))+1)))*(IF(F281="",1,IF(F281&gt;0,(F281/100)+1,(100/((-1)*F281))+1)))*(IF(G281="",1,IF(G281&gt;0,(G281/100)+1,(100/((-1)*G281))+1)))*(IF(H281="",1,IF(H281&gt;0,(H281/100)+1,(100/((-1)*H281))+1)))*(IF(I281="",1,IF(I281&gt;0,(I281/100)+1,(100/((-1)*I281))+1)))*(IF(J281="",1,IF(J281&gt;0,(J281/100)+1,(100/((-1)*J281))+1)))*(IF(K281="",1,IF(K281&gt;0,(K281/100)+1,(100/((-1)*K281))+1)))*(IF(L281="",1,IF(L281&gt;0,(L281/100)+1,(100/((-1)*L281))+1))))-1)*(100))))&lt;0,(((-100)/((IF(((IF(C281="",1,IF(C281&gt;0,(C281/100)+1,(100/((-1)*C281))+1)))*(IF(D281="",1,IF(D281&gt;0,(D281/100)+1,(100/((-1)*D281))+1)))*(IF(E281="",1,IF(E281&gt;0,(E281/100)+1,(100/((-1)*E281))+1)))*(IF(F281="",1,IF(F281&gt;0,(F281/100)+1,(100/((-1)*F281))+1)))*(IF(G281="",1,IF(G281&gt;0,(G281/100)+1,(100/((-1)*G281))+1)))*(IF(H281="",1,IF(H281&gt;0,(H281/100)+1,(100/((-1)*H281))+1)))*(IF(I281="",1,IF(I281&gt;0,(I281/100)+1,(100/((-1)*I281))+1)))*(IF(J281="",1,IF(J281&gt;0,(J281/100)+1,(100/((-1)*J281))+1)))*(IF(K281="",1,IF(K281&gt;0,(K281/100)+1,(100/((-1)*K281))+1)))*(IF(L281="",1,IF(L281&gt;0,(L281/100)+1,(100/((-1)*L281))+1))))&lt;2,((-100)/(((IF(C281="",1,IF(C281&gt;0,(C281/100)+1,(100/((-1)*C281))+1)))*(IF(D281="",1,IF(D281&gt;0,(D281/100)+1,(100/((-1)*D281))+1)))*(IF(E281="",1,IF(E281&gt;0,(E281/100)+1,(100/((-1)*E281))+1)))*(IF(F281="",1,IF(F281&gt;0,(F281/100)+1,(100/((-1)*F281))+1)))*(IF(G281="",1,IF(G281&gt;0,(G281/100)+1,(100/((-1)*G281))+1)))*(IF(H281="",1,IF(H281&gt;0,(H281/100)+1,(100/((-1)*H281))+1)))*(IF(I281="",1,IF(I281&gt;0,(I281/100)+1,(100/((-1)*I281))+1)))*(IF(J281="",1,IF(J281&gt;0,(J281/100)+1,(100/((-1)*J281))+1)))*(IF(K281="",1,IF(K281&gt;0,(K281/100)+1,(100/((-1)*K281))+1)))*(IF(L281="",1,IF(L281&gt;0,(L281/100)+1,(100/((-1)*L281))+1))))-1)),((((IF(C281="",1,IF(C281&gt;0,(C281/100)+1,(100/((-1)*C281))+1)))*(IF(D281="",1,IF(D281&gt;0,(D281/100)+1,(100/((-1)*D281))+1)))*(IF(E281="",1,IF(E281&gt;0,(E281/100)+1,(100/((-1)*E281))+1)))*(IF(F281="",1,IF(F281&gt;0,(F281/100)+1,(100/((-1)*F281))+1)))*(IF(G281="",1,IF(G281&gt;0,(G281/100)+1,(100/((-1)*G281))+1)))*(IF(H281="",1,IF(H281&gt;0,(H281/100)+1,(100/((-1)*H281))+1)))*(IF(I281="",1,IF(I281&gt;0,(I281/100)+1,(100/((-1)*I281))+1)))*(IF(J281="",1,IF(J281&gt;0,(J281/100)+1,(100/((-1)*J281))+1)))*(IF(K281="",1,IF(K281&gt;0,(K281/100)+1,(100/((-1)*K281))+1)))*(IF(L281="",1,IF(L281&gt;0,(L281/100)+1,(100/((-1)*L281))+1))))-1)*(100))))))*10),(((IF(((IF(C281="",1,IF(C281&gt;0,(C281/100)+1,(100/((-1)*C281))+1)))*(IF(D281="",1,IF(D281&gt;0,(D281/100)+1,(100/((-1)*D281))+1)))*(IF(E281="",1,IF(E281&gt;0,(E281/100)+1,(100/((-1)*E281))+1)))*(IF(F281="",1,IF(F281&gt;0,(F281/100)+1,(100/((-1)*F281))+1)))*(IF(G281="",1,IF(G281&gt;0,(G281/100)+1,(100/((-1)*G281))+1)))*(IF(H281="",1,IF(H281&gt;0,(H281/100)+1,(100/((-1)*H281))+1)))*(IF(I281="",1,IF(I281&gt;0,(I281/100)+1,(100/((-1)*I281))+1)))*(IF(J281="",1,IF(J281&gt;0,(J281/100)+1,(100/((-1)*J281))+1)))*(IF(K281="",1,IF(K281&gt;0,(K281/100)+1,(100/((-1)*K281))+1)))*(IF(L281="",1,IF(L281&gt;0,(L281/100)+1,(100/((-1)*L281))+1))))&lt;2,((-100)/(((IF(C281="",1,IF(C281&gt;0,(C281/100)+1,(100/((-1)*C281))+1)))*(IF(D281="",1,IF(D281&gt;0,(D281/100)+1,(100/((-1)*D281))+1)))*(IF(E281="",1,IF(E281&gt;0,(E281/100)+1,(100/((-1)*E281))+1)))*(IF(F281="",1,IF(F281&gt;0,(F281/100)+1,(100/((-1)*F281))+1)))*(IF(G281="",1,IF(G281&gt;0,(G281/100)+1,(100/((-1)*G281))+1)))*(IF(H281="",1,IF(H281&gt;0,(H281/100)+1,(100/((-1)*H281))+1)))*(IF(I281="",1,IF(I281&gt;0,(I281/100)+1,(100/((-1)*I281))+1)))*(IF(J281="",1,IF(J281&gt;0,(J281/100)+1,(100/((-1)*J281))+1)))*(IF(K281="",1,IF(K281&gt;0,(K281/100)+1,(100/((-1)*K281))+1)))*(IF(L281="",1,IF(L281&gt;0,(L281/100)+1,(100/((-1)*L281))+1))))-1)),((((IF(C281="",1,IF(C281&gt;0,(C281/100)+1,(100/((-1)*C281))+1)))*(IF(D281="",1,IF(D281&gt;0,(D281/100)+1,(100/((-1)*D281))+1)))*(IF(E281="",1,IF(E281&gt;0,(E281/100)+1,(100/((-1)*E281))+1)))*(IF(F281="",1,IF(F281&gt;0,(F281/100)+1,(100/((-1)*F281))+1)))*(IF(G281="",1,IF(G281&gt;0,(G281/100)+1,(100/((-1)*G281))+1)))*(IF(H281="",1,IF(H281&gt;0,(H281/100)+1,(100/((-1)*H281))+1)))*(IF(I281="",1,IF(I281&gt;0,(I281/100)+1,(100/((-1)*I281))+1)))*(IF(J281="",1,IF(J281&gt;0,(J281/100)+1,(100/((-1)*J281))+1)))*(IF(K281="",1,IF(K281&gt;0,(K281/100)+1,(100/((-1)*K281))+1)))*(IF(L281="",1,IF(L281&gt;0,(L281/100)+1,(100/((-1)*L281))+1))))-1)*(100))))/100)*10)))</f>
        <v>4874.694528</v>
      </c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 ht="16.5" customHeight="1">
      <c r="A282" s="3" t="s">
        <v>37</v>
      </c>
      <c r="B282" s="2"/>
      <c r="C282" s="18" t="str">
        <f>'2025'!C135</f>
        <v>49ers @ Cardinals</v>
      </c>
      <c r="D282" s="18" t="str">
        <f>'2025'!D135</f>
        <v>Chiefs @ Broncos</v>
      </c>
      <c r="E282" s="18" t="str">
        <f>'2025'!E135</f>
        <v>Bears @ Vikings</v>
      </c>
      <c r="F282" s="18" t="str">
        <f>'2025'!F135</f>
        <v>Lions @ Eagles</v>
      </c>
      <c r="G282" s="18" t="str">
        <f>'2025'!G135</f>
        <v>Packers @ Giants</v>
      </c>
      <c r="H282" s="18" t="str">
        <f>'2025'!H135</f>
        <v>Texans @ Titans</v>
      </c>
      <c r="I282" s="18" t="str">
        <f>'2025'!I135</f>
        <v>Buccaneers @ Bills</v>
      </c>
      <c r="J282" s="18" t="str">
        <f>'2025'!J135</f>
        <v>Ravens @ Browns</v>
      </c>
      <c r="K282" s="18" t="str">
        <f>'2025'!K135</f>
        <v>Chargers @ Jaguars</v>
      </c>
      <c r="L282" s="18" t="str">
        <f>'2025'!L135</f>
        <v>Seahawks @ Rams</v>
      </c>
      <c r="M282" s="2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 ht="16.5" customHeight="1">
      <c r="A283" s="3" t="s">
        <v>48</v>
      </c>
      <c r="B283" s="2"/>
      <c r="C283" s="18" t="str">
        <f>'2025'!C136</f>
        <v>41-22</v>
      </c>
      <c r="D283" s="18" t="str">
        <f>'2025'!D136</f>
        <v>19-22</v>
      </c>
      <c r="E283" s="18" t="str">
        <f>'2025'!E136</f>
        <v>19-17</v>
      </c>
      <c r="F283" s="32">
        <f>'2025'!F136</f>
        <v>45916</v>
      </c>
      <c r="G283" s="18" t="str">
        <f>'2025'!G136</f>
        <v>174 Passing Yards</v>
      </c>
      <c r="H283" s="18" t="str">
        <f>'2025'!H136</f>
        <v>16-13</v>
      </c>
      <c r="I283" s="18" t="str">
        <f>'2025'!I136</f>
        <v>32-44</v>
      </c>
      <c r="J283" s="18" t="str">
        <f>'2025'!J136</f>
        <v>23-16</v>
      </c>
      <c r="K283" s="18" t="str">
        <f>'2025'!K136</f>
        <v>6-35</v>
      </c>
      <c r="L283" s="18" t="str">
        <f>'2025'!L136</f>
        <v>0 Touchdowns</v>
      </c>
      <c r="M283" s="2"/>
      <c r="N283" s="4"/>
      <c r="O283" s="3" t="s">
        <v>56</v>
      </c>
      <c r="P283" s="3" t="s">
        <v>57</v>
      </c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 ht="16.5" customHeight="1">
      <c r="A284" s="3" t="s">
        <v>59</v>
      </c>
      <c r="B284" s="2"/>
      <c r="C284" s="18" t="str">
        <f>'2025'!C137</f>
        <v>L</v>
      </c>
      <c r="D284" s="18" t="str">
        <f>'2025'!D137</f>
        <v>L</v>
      </c>
      <c r="E284" s="18" t="str">
        <f>'2025'!E137</f>
        <v>L</v>
      </c>
      <c r="F284" s="18" t="str">
        <f>'2025'!F137</f>
        <v>L</v>
      </c>
      <c r="G284" s="18" t="str">
        <f>'2025'!G137</f>
        <v>L</v>
      </c>
      <c r="H284" s="18" t="str">
        <f>'2025'!H137</f>
        <v>W</v>
      </c>
      <c r="I284" s="18" t="str">
        <f>'2025'!I137</f>
        <v>W</v>
      </c>
      <c r="J284" s="18" t="str">
        <f>'2025'!J137</f>
        <v>W</v>
      </c>
      <c r="K284" s="18" t="str">
        <f>'2025'!K137</f>
        <v>L</v>
      </c>
      <c r="L284" s="18" t="str">
        <f>'2025'!L137</f>
        <v>L</v>
      </c>
      <c r="M284" s="2"/>
      <c r="N284" s="3" t="s">
        <v>65</v>
      </c>
      <c r="O284" s="12" t="str">
        <f>IFERROR(__xludf.DUMMYFUNCTION("IF(OR(COUNTA(C281:L281) = 0, COUNTA(C284:L284) = 0), """", IFERROR(TEXTJOIN("", "", TRUE, FILTER(C278:L278, (C284:L284 = ""W"") * (C281:L281 = MAX(FILTER(C281:L281, C284:L284 = ""W""))))), """"))"),"Tanner")</f>
        <v>Tanner</v>
      </c>
      <c r="P284" s="12" t="str">
        <f>IFERROR(__xludf.DUMMYFUNCTION("IF(COUNTA(C289:L289) = 0, """", IFERROR(TEXTJOIN("", "", TRUE, FILTER(C278:L278, C289:L289 = MAX(C289:L289))), """"))"),"Carson")</f>
        <v>Carson</v>
      </c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 ht="16.5" customHeight="1">
      <c r="A285" s="1" t="s">
        <v>81</v>
      </c>
      <c r="B285" s="2"/>
      <c r="C285" s="4">
        <f t="shared" ref="C285:L285" si="85">IF(OR(C281="",C284=""),"",C272+COUNTIF(C284,"W"))</f>
        <v>14</v>
      </c>
      <c r="D285" s="4">
        <f t="shared" si="85"/>
        <v>17</v>
      </c>
      <c r="E285" s="4">
        <f t="shared" si="85"/>
        <v>11</v>
      </c>
      <c r="F285" s="4">
        <f t="shared" si="85"/>
        <v>12</v>
      </c>
      <c r="G285" s="4">
        <f t="shared" si="85"/>
        <v>13</v>
      </c>
      <c r="H285" s="4">
        <f t="shared" si="85"/>
        <v>12</v>
      </c>
      <c r="I285" s="4">
        <f t="shared" si="85"/>
        <v>10</v>
      </c>
      <c r="J285" s="4">
        <f t="shared" si="85"/>
        <v>12</v>
      </c>
      <c r="K285" s="4">
        <f t="shared" si="85"/>
        <v>10</v>
      </c>
      <c r="L285" s="4">
        <f t="shared" si="85"/>
        <v>13</v>
      </c>
      <c r="M285" s="2"/>
      <c r="N285" s="3" t="s">
        <v>82</v>
      </c>
      <c r="O285" s="4" t="str">
        <f>IFERROR(__xludf.DUMMYFUNCTION("IF(OR(COUNTA(C281:L281) = 0, COUNTA(C284:L284) = 0), """", IFERROR(TEXTJOIN("", "", TRUE, FILTER(C278:L278, (C284:L284 = ""L"") * (C281:L281 = MIN(FILTER(C281:L281, C284:L284 = ""L""))))), """"))"),"Austin")</f>
        <v>Austin</v>
      </c>
      <c r="P285" s="12" t="str">
        <f>IFERROR(__xludf.DUMMYFUNCTION("IF(COUNTA(C289:L289) = 0, """", IFERROR(TEXTJOIN("", "", TRUE, FILTER(C278:L278, C289:L289 = MIN(C289:L289))), """"))"),"Nick")</f>
        <v>Nick</v>
      </c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 ht="16.5" customHeight="1">
      <c r="A286" s="1" t="s">
        <v>83</v>
      </c>
      <c r="B286" s="2"/>
      <c r="C286" s="27">
        <f t="shared" ref="C286:L286" si="86">IF(OR(C281="",C284=""),"",C273+COUNTIF(C284,"L"))</f>
        <v>8</v>
      </c>
      <c r="D286" s="27">
        <f t="shared" si="86"/>
        <v>5</v>
      </c>
      <c r="E286" s="27">
        <f t="shared" si="86"/>
        <v>11</v>
      </c>
      <c r="F286" s="27">
        <f t="shared" si="86"/>
        <v>10</v>
      </c>
      <c r="G286" s="27">
        <f t="shared" si="86"/>
        <v>9</v>
      </c>
      <c r="H286" s="27">
        <f t="shared" si="86"/>
        <v>10</v>
      </c>
      <c r="I286" s="27">
        <f t="shared" si="86"/>
        <v>12</v>
      </c>
      <c r="J286" s="27">
        <f t="shared" si="86"/>
        <v>10</v>
      </c>
      <c r="K286" s="27">
        <f t="shared" si="86"/>
        <v>12</v>
      </c>
      <c r="L286" s="27">
        <f t="shared" si="86"/>
        <v>9</v>
      </c>
      <c r="M286" s="2"/>
      <c r="N286" s="3" t="s">
        <v>84</v>
      </c>
      <c r="O286" s="12" t="str">
        <f>IFERROR(__xludf.DUMMYFUNCTION("IF(COUNTA(C281:L281) = 0, """", IFERROR(TEXTJOIN("", "", TRUE, FILTER(C278:L278, C281:L281 = MAX(C281:L281))), """"))"),"Hunter")</f>
        <v>Hunter</v>
      </c>
      <c r="P286" s="4" t="str">
        <f>IFERROR(__xludf.DUMMYFUNCTION("IF(COUNTA(C281:L281) = 0, """", IFERROR(TEXTJOIN("", "", TRUE, FILTER(C278:L278, C288:L288 = MAX(C288:L288))), """"))"),"Jake")</f>
        <v>Jake</v>
      </c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 ht="16.5" customHeight="1">
      <c r="A287" s="3" t="s">
        <v>85</v>
      </c>
      <c r="B287" s="2"/>
      <c r="C287" s="24">
        <f t="shared" ref="C287:L287" si="87">IF(OR(C281="",C284=""),"",(C285/(C285+C286)))</f>
        <v>0.6363636364</v>
      </c>
      <c r="D287" s="24">
        <f t="shared" si="87"/>
        <v>0.7727272727</v>
      </c>
      <c r="E287" s="24">
        <f t="shared" si="87"/>
        <v>0.5</v>
      </c>
      <c r="F287" s="24">
        <f t="shared" si="87"/>
        <v>0.5454545455</v>
      </c>
      <c r="G287" s="24">
        <f t="shared" si="87"/>
        <v>0.5909090909</v>
      </c>
      <c r="H287" s="24">
        <f t="shared" si="87"/>
        <v>0.5454545455</v>
      </c>
      <c r="I287" s="24">
        <f t="shared" si="87"/>
        <v>0.4545454545</v>
      </c>
      <c r="J287" s="24">
        <f t="shared" si="87"/>
        <v>0.5454545455</v>
      </c>
      <c r="K287" s="24">
        <f t="shared" si="87"/>
        <v>0.4545454545</v>
      </c>
      <c r="L287" s="24">
        <f t="shared" si="87"/>
        <v>0.5909090909</v>
      </c>
      <c r="M287" s="14"/>
      <c r="N287" s="3" t="s">
        <v>86</v>
      </c>
      <c r="O287" s="4" t="str">
        <f>IFERROR(__xludf.DUMMYFUNCTION("IF(COUNTA(C281:L281) = 0, """", IFERROR(TEXTJOIN("", "", TRUE, FILTER(C278:L278, C281:L281 = MIN(C281:L281))), """"))"),"Nick")</f>
        <v>Nick</v>
      </c>
      <c r="P287" s="4" t="str">
        <f>IFERROR(__xludf.DUMMYFUNCTION("IF(COUNTA(C281:L281) = 0, """", IFERROR(TEXTJOIN("", "", TRUE, FILTER(C278:L278, C288:L288 = MIN(C288:L288))), """"))"),"Carson")</f>
        <v>Carson</v>
      </c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 ht="16.5" customHeight="1">
      <c r="A288" s="3" t="s">
        <v>87</v>
      </c>
      <c r="B288" s="2"/>
      <c r="C288" s="25">
        <f t="shared" ref="C288:L288" si="88">IF(C281="","",IF(((IF(C281 &lt;0,((-100/C281)+1),((C281/100)+1))+(IF(C275&lt;0,((-100/C275)+1),((C275/100)+1)))*(C272+C273))/(C272+C273+1))&lt;2,(-100/(((IF(C281 &lt;0,((-100/C281)+1),((C281/100)+1))+(IF(C275&lt;0,((-100/C275)+1),((C275/100)+1)))*(C272+C273))/(C272+C273+1))-1)),(((IF(C281 &lt;0,((-100/C281)+1),((C281/100)+1))+(IF(C275&lt;0,((-100/C275)+1),((C275/100)+1)))*(C272+C273))/(C272+C273+1))-1)*100))</f>
        <v>-123.3087679</v>
      </c>
      <c r="D288" s="25">
        <f t="shared" si="88"/>
        <v>-131.5384486</v>
      </c>
      <c r="E288" s="25">
        <f t="shared" si="88"/>
        <v>-119.2967302</v>
      </c>
      <c r="F288" s="25">
        <f t="shared" si="88"/>
        <v>-118.529197</v>
      </c>
      <c r="G288" s="25">
        <f t="shared" si="88"/>
        <v>100.1316959</v>
      </c>
      <c r="H288" s="25">
        <f t="shared" si="88"/>
        <v>102.0119043</v>
      </c>
      <c r="I288" s="25">
        <f t="shared" si="88"/>
        <v>-120.8072458</v>
      </c>
      <c r="J288" s="25">
        <f t="shared" si="88"/>
        <v>-125.9902632</v>
      </c>
      <c r="K288" s="25">
        <f t="shared" si="88"/>
        <v>-118.7987627</v>
      </c>
      <c r="L288" s="25">
        <f t="shared" si="88"/>
        <v>-111.0350407</v>
      </c>
      <c r="M288" s="14"/>
      <c r="N288" s="4"/>
      <c r="O288" s="12"/>
      <c r="P288" s="12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 ht="16.5" customHeight="1">
      <c r="A289" s="16" t="s">
        <v>88</v>
      </c>
      <c r="B289" s="2"/>
      <c r="C289" s="26">
        <f>IFERROR(__xludf.DUMMYFUNCTION("IF(OR(C281="""",C284=""""),"""",IF(REGEXMATCH(C284,""W""),IF(C281&lt;0,((-100/C281))*10+C276,((C281/100)*10+C276)),-10+C276))"),28.46958730685114)</f>
        <v>28.46958731</v>
      </c>
      <c r="D289" s="26">
        <f>IFERROR(__xludf.DUMMYFUNCTION("IF(OR(D281="""",D284=""""),"""",IF(REGEXMATCH(D284,""W""),IF(D281&lt;0,((-100/D281))*10+D276,((D281/100)*10+D276)),-10+D276))"),73.88045097336281)</f>
        <v>73.88045097</v>
      </c>
      <c r="E289" s="26">
        <f>IFERROR(__xludf.DUMMYFUNCTION("IF(OR(E281="""",E284=""""),"""",IF(REGEXMATCH(E284,""W""),IF(E281&lt;0,((-100/E281))*10+E276,((E281/100)*10+E276)),-10+E276))"),-16.697225343528345)</f>
        <v>-16.69722534</v>
      </c>
      <c r="F289" s="26">
        <f>IFERROR(__xludf.DUMMYFUNCTION("IF(OR(F281="""",F284=""""),"""",IF(REGEXMATCH(F284,""W""),IF(F281&lt;0,((-100/F281))*10+F276,((F281/100)*10+F276)),-10+F276))"),-2.152162526287306)</f>
        <v>-2.152162526</v>
      </c>
      <c r="G289" s="26">
        <f>IFERROR(__xludf.DUMMYFUNCTION("IF(OR(G281="""",G284=""""),"""",IF(REGEXMATCH(G284,""W""),IF(G281&lt;0,((-100/G281))*10+G276,((G281/100)*10+G276)),-10+G276))"),21.04922241052261)</f>
        <v>21.04922241</v>
      </c>
      <c r="H289" s="26">
        <f>IFERROR(__xludf.DUMMYFUNCTION("IF(OR(H281="""",H284=""""),"""",IF(REGEXMATCH(H284,""W""),IF(H281&lt;0,((-100/H281))*10+H276,((H281/100)*10+H276)),-10+H276))"),16.045284031622113)</f>
        <v>16.04528403</v>
      </c>
      <c r="I289" s="26">
        <f>IFERROR(__xludf.DUMMYFUNCTION("IF(OR(I281="""",I284=""""),"""",IF(REGEXMATCH(I284,""W""),IF(I281&lt;0,((-100/I281))*10+I276,((I281/100)*10+I276)),-10+I276))"),-48.83369436093271)</f>
        <v>-48.83369436</v>
      </c>
      <c r="J289" s="26">
        <f>IFERROR(__xludf.DUMMYFUNCTION("IF(OR(J281="""",J284=""""),"""",IF(REGEXMATCH(J284,""W""),IF(J281&lt;0,((-100/J281))*10+J276,((J281/100)*10+J276)),-10+J276))"),-4.15468124747341)</f>
        <v>-4.154681247</v>
      </c>
      <c r="K289" s="26">
        <f>IFERROR(__xludf.DUMMYFUNCTION("IF(OR(K281="""",K284=""""),"""",IF(REGEXMATCH(K284,""W""),IF(K281&lt;0,((-100/K281))*10+K276,((K281/100)*10+K276)),-10+K276))"),-36.2606145686847)</f>
        <v>-36.26061457</v>
      </c>
      <c r="L289" s="26">
        <f>IFERROR(__xludf.DUMMYFUNCTION("IF(OR(L281="""",L284=""""),"""",IF(REGEXMATCH(L284,""W""),IF(L281&lt;0,((-100/L281))*10+L276,((L281/100)*10+L276)),-10+L276))"),28.633128830171742)</f>
        <v>28.63312883</v>
      </c>
      <c r="M289" s="14"/>
      <c r="N289" s="16" t="s">
        <v>89</v>
      </c>
      <c r="O289" s="10">
        <f>IFERROR(__xludf.DUMMYFUNCTION("IF(AND(C289="""",AND(D289="""",AND(E289="""",AND(F289="""",AND(G289="""",AND(H289="""",AND(I289="""",AND(J289="""",AND(K289="""",L289=""""))))))))),"""",(IF(C284="""",0,IF(REGEXMATCH(C284,""W""),IF(C281&lt;0,((-100/C281))*10,((C281/100)*10)),-10))+IF(D284="""&amp;""",0,IF(REGEXMATCH(D284,""W""),IF(D281&lt;0,((-100/D281))*10,((D281/100)*10)),-10))+IF(E284="""",0,IF(REGEXMATCH(E284,""W""),IF(E281&lt;0,((-100/E281))*10,((E281/100)*10)),-10))+IF(F284="""",0,IF(REGEXMATCH(F284,""W""),IF(F281&lt;0,((-100/F281))*10,((F281/100)*10)"&amp;"),-10))+IF(G284="""",0,IF(REGEXMATCH(G284,""W""),IF(G281&lt;0,((-100/G281))*10,((G281/100)*10)),-10))+IF(H284="""",0,IF(REGEXMATCH(H284,""W""),IF(H281&lt;0,((-100/H281))*10,((H281/100)*10)),-10))+IF(I284="""",0,IF(REGEXMATCH(I284,""W""),IF(I281&lt;0,((-100/I281))*"&amp;"10,((I281/100)*10)),-10))+IF(J284="""",0,IF(REGEXMATCH(J284,""W""),IF(J281&lt;0,((-100/J281))*10,((J281/100)*10)),-10))+IF(K284="""",0,IF(REGEXMATCH(K284,""W""),IF(K281&lt;0,((-100/K281))*10,((K281/100)*10)),-10))+IF(L284="""",0,IF(REGEXMATCH(L284,""W""),IF(L28"&amp;"1&lt;0,((-100/L281))*10,((L281/100)*10)),-10))))"),-51.40873469435604)</f>
        <v>-51.40873469</v>
      </c>
      <c r="P289" s="10">
        <f>IFERROR(__xludf.DUMMYFUNCTION("IF(AND(C289="""",AND(D289="""",AND(E289="""",AND(F289="""",AND(G289="""",AND(H289="""",AND(I289="""",AND(J289="""",AND(K289="""",L289=""""))))))))),"""",(P276+IF(C284="""",0,IF(REGEXMATCH(C284,""W""),IF(C281&lt;0,((-100/C281))*10,((C281/100)*10)),-10))+IF(D2"&amp;"84="""",0,IF(REGEXMATCH(D284,""W""),IF(D281&lt;0,((-100/D281))*10,((D281/100)*10)),-10))+IF(E284="""",0,IF(REGEXMATCH(E284,""W""),IF(E281&lt;0,((-100/E281))*10,((E281/100)*10)),-10))+IF(F284="""",0,IF(REGEXMATCH(F284,""W""),IF(F281&lt;0,((-100/F281))*10,((F281/100"&amp;")*10)),-10))+IF(G284="""",0,IF(REGEXMATCH(G284,""W""),IF(G281&lt;0,((-100/G281))*10,((G281/100)*10)),-10))+IF(H284="""",0,IF(REGEXMATCH(H284,""W""),IF(H281&lt;0,((-100/H281))*10,((H281/100)*10)),-10))+IF(I284="""",0,IF(REGEXMATCH(I284,""W""),IF(I281&lt;0,((-100/I2"&amp;"81))*10,((I281/100)*10)),-10))+IF(J284="""",0,IF(REGEXMATCH(J284,""W""),IF(J281&lt;0,((-100/J281))*10,((J281/100)*10)),-10))+IF(K284="""",0,IF(REGEXMATCH(K284,""W""),IF(K281&lt;0,((-100/K281))*10,((K281/100)*10)),-10))+IF(L284="""",0,IF(REGEXMATCH(L284,""W""),I"&amp;"F(L281&lt;0,((-100/L281))*10,((L281/100)*10)),-10))))"),59.97929550562385)</f>
        <v>59.97929551</v>
      </c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 ht="16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 ht="16.5" customHeight="1">
      <c r="A291" s="1" t="s">
        <v>582</v>
      </c>
      <c r="B291" s="2"/>
      <c r="C291" s="3" t="s">
        <v>1</v>
      </c>
      <c r="D291" s="3" t="s">
        <v>2</v>
      </c>
      <c r="E291" s="3" t="s">
        <v>3</v>
      </c>
      <c r="F291" s="3" t="s">
        <v>4</v>
      </c>
      <c r="G291" s="3" t="s">
        <v>5</v>
      </c>
      <c r="H291" s="3" t="s">
        <v>6</v>
      </c>
      <c r="I291" s="3" t="s">
        <v>7</v>
      </c>
      <c r="J291" s="3" t="s">
        <v>8</v>
      </c>
      <c r="K291" s="3" t="s">
        <v>9</v>
      </c>
      <c r="L291" s="3" t="s">
        <v>10</v>
      </c>
      <c r="M291" s="2"/>
      <c r="N291" s="4"/>
      <c r="O291" s="3" t="s">
        <v>11</v>
      </c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 ht="16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 ht="16.5" customHeight="1">
      <c r="A293" s="3" t="s">
        <v>12</v>
      </c>
      <c r="B293" s="2"/>
      <c r="C293" s="12" t="str">
        <f>'2025'!C146</f>
        <v>A. St. Brown ATD &amp; Lions Win</v>
      </c>
      <c r="D293" s="12" t="str">
        <f>'2025'!D146</f>
        <v>Vikings +7.5</v>
      </c>
      <c r="E293" s="12" t="str">
        <f>'2025'!E146</f>
        <v>Under 40.5</v>
      </c>
      <c r="F293" s="12" t="str">
        <f>'2025'!F146</f>
        <v>Buccaneers +10.5</v>
      </c>
      <c r="G293" s="12" t="str">
        <f>'2025'!G146</f>
        <v>Saints Moneyline</v>
      </c>
      <c r="H293" s="12" t="str">
        <f>'2025'!H146</f>
        <v>Seahawks -13.5</v>
      </c>
      <c r="I293" s="12" t="str">
        <f>'2025'!I146</f>
        <v>J. Taylor 79+ Rush Yards</v>
      </c>
      <c r="J293" s="12" t="str">
        <f>'2025'!J146</f>
        <v>Patriots -6.5</v>
      </c>
      <c r="K293" s="12" t="str">
        <f>'2025'!K146</f>
        <v>D. Prescott 234+ Pass Yards</v>
      </c>
      <c r="L293" s="12" t="str">
        <f>'2025'!L146</f>
        <v>Over 3.5 Field Goals</v>
      </c>
      <c r="M293" s="2"/>
      <c r="N293" s="3" t="s">
        <v>13</v>
      </c>
      <c r="O293" s="7">
        <f>IF(AND(C294="",AND(D294="",AND(E294="",AND(F294="",AND(G294="",AND(H294="",AND(I294="",AND(J294="",AND(K294="",L294=""))))))))),"",IF(((IF(C294="",1,IF(C294&gt;0,(C294/100)+1,(100/((-1)*C294))+1)))*(IF(D294="",1,IF(D294&gt;0,(D294/100)+1,(100/((-1)*D294))+1)))*(IF(E294="",1,IF(E294&gt;0,(E294/100)+1,(100/((-1)*E294))+1)))*(IF(F294="",1,IF(F294&gt;0,(F294/100)+1,(100/((-1)*F294))+1)))*(IF(G294="",1,IF(G294&gt;0,(G294/100)+1,(100/((-1)*G294))+1)))*(IF(H294="",1,IF(H294&gt;0,(H294/100)+1,(100/((-1)*H294))+1)))*(IF(I294="",1,IF(I294&gt;0,(I294/100)+1,(100/((-1)*I294))+1)))*(IF(J294="",1,IF(J294&gt;0,(J294/100)+1,(100/((-1)*J294))+1)))*(IF(K294="",1,IF(K294&gt;0,(K294/100)+1,(100/((-1)*K294))+1)))*(IF(L294="",1,IF(L294&gt;0,(L294/100)+1,(100/((-1)*L294))+1))))&lt;2,((-100)/(((IF(C294="",1,IF(C294&gt;0,(C294/100)+1,(100/((-1)*C294))+1)))*(IF(D294="",1,IF(D294&gt;0,(D294/100)+1,(100/((-1)*D294))+1)))*(IF(E294="",1,IF(E294&gt;0,(E294/100)+1,(100/((-1)*E294))+1)))*(IF(F294="",1,IF(F294&gt;0,(F294/100)+1,(100/((-1)*F294))+1)))*(IF(G294="",1,IF(G294&gt;0,(G294/100)+1,(100/((-1)*G294))+1)))*(IF(H294="",1,IF(H294&gt;0,(H294/100)+1,(100/((-1)*H294))+1)))*(IF(I294="",1,IF(I294&gt;0,(I294/100)+1,(100/((-1)*I294))+1)))*(IF(J294="",1,IF(J294&gt;0,(J294/100)+1,(100/((-1)*J294))+1)))*(IF(K294="",1,IF(K294&gt;0,(K294/100)+1,(100/((-1)*K294))+1)))*(IF(L294="",1,IF(L294&gt;0,(L294/100)+1,(100/((-1)*L294))+1))))-1)),((((IF(C294="",1,IF(C294&gt;0,(C294/100)+1,(100/((-1)*C294))+1)))*(IF(D294="",1,IF(D294&gt;0,(D294/100)+1,(100/((-1)*D294))+1)))*(IF(E294="",1,IF(E294&gt;0,(E294/100)+1,(100/((-1)*E294))+1)))*(IF(F294="",1,IF(F294&gt;0,(F294/100)+1,(100/((-1)*F294))+1)))*(IF(G294="",1,IF(G294&gt;0,(G294/100)+1,(100/((-1)*G294))+1)))*(IF(H294="",1,IF(H294&gt;0,(H294/100)+1,(100/((-1)*H294))+1)))*(IF(I294="",1,IF(I294&gt;0,(I294/100)+1,(100/((-1)*I294))+1)))*(IF(J294="",1,IF(J294&gt;0,(J294/100)+1,(100/((-1)*J294))+1)))*(IF(K294="",1,IF(K294&gt;0,(K294/100)+1,(100/((-1)*K294))+1)))*(IF(L294="",1,IF(L294&gt;0,(L294/100)+1,(100/((-1)*L294))+1))))-1)*(100))))</f>
        <v>28696.01807</v>
      </c>
      <c r="P293" s="4"/>
      <c r="Q293" s="8" t="s">
        <v>35</v>
      </c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 ht="16.5" customHeight="1">
      <c r="A294" s="3" t="s">
        <v>13</v>
      </c>
      <c r="B294" s="2"/>
      <c r="C294" s="18">
        <f>'2025'!C147</f>
        <v>115</v>
      </c>
      <c r="D294" s="18">
        <f>'2025'!D147</f>
        <v>-139</v>
      </c>
      <c r="E294" s="18">
        <f>'2025'!E147</f>
        <v>-200</v>
      </c>
      <c r="F294" s="18">
        <f>'2025'!F147</f>
        <v>-159</v>
      </c>
      <c r="G294" s="18">
        <f>'2025'!G147</f>
        <v>-130</v>
      </c>
      <c r="H294" s="18">
        <f>'2025'!H147</f>
        <v>-105</v>
      </c>
      <c r="I294" s="18">
        <f>'2025'!I147</f>
        <v>-172</v>
      </c>
      <c r="J294" s="18">
        <f>'2025'!J147</f>
        <v>-130</v>
      </c>
      <c r="K294" s="18">
        <f>'2025'!K147</f>
        <v>-154</v>
      </c>
      <c r="L294" s="18">
        <f>'2025'!L147</f>
        <v>100</v>
      </c>
      <c r="M294" s="2">
        <v>12.0</v>
      </c>
      <c r="N294" s="3" t="s">
        <v>36</v>
      </c>
      <c r="O294" s="10">
        <f>IF(AND(C294="",AND(D294="",AND(E294="",AND(F294="",AND(G294="",AND(H294="",AND(I294="",AND(J294="",AND(K294="",L294=""))))))))),"",10+IF((IF(((IF(C294="",1,IF(C294&gt;0,(C294/100)+1,(100/((-1)*C294))+1)))*(IF(D294="",1,IF(D294&gt;0,(D294/100)+1,(100/((-1)*D294))+1)))*(IF(E294="",1,IF(E294&gt;0,(E294/100)+1,(100/((-1)*E294))+1)))*(IF(F294="",1,IF(F294&gt;0,(F294/100)+1,(100/((-1)*F294))+1)))*(IF(G294="",1,IF(G294&gt;0,(G294/100)+1,(100/((-1)*G294))+1)))*(IF(H294="",1,IF(H294&gt;0,(H294/100)+1,(100/((-1)*H294))+1)))*(IF(I294="",1,IF(I294&gt;0,(I294/100)+1,(100/((-1)*I294))+1)))*(IF(J294="",1,IF(J294&gt;0,(J294/100)+1,(100/((-1)*J294))+1)))*(IF(K294="",1,IF(K294&gt;0,(K294/100)+1,(100/((-1)*K294))+1)))*(IF(L294="",1,IF(L294&gt;0,(L294/100)+1,(100/((-1)*L294))+1))))&lt;2,((-100)/(((IF(C294="",1,IF(C294&gt;0,(C294/100)+1,(100/((-1)*C294))+1)))*(IF(D294="",1,IF(D294&gt;0,(D294/100)+1,(100/((-1)*D294))+1)))*(IF(E294="",1,IF(E294&gt;0,(E294/100)+1,(100/((-1)*E294))+1)))*(IF(F294="",1,IF(F294&gt;0,(F294/100)+1,(100/((-1)*F294))+1)))*(IF(G294="",1,IF(G294&gt;0,(G294/100)+1,(100/((-1)*G294))+1)))*(IF(H294="",1,IF(H294&gt;0,(H294/100)+1,(100/((-1)*H294))+1)))*(IF(I294="",1,IF(I294&gt;0,(I294/100)+1,(100/((-1)*I294))+1)))*(IF(J294="",1,IF(J294&gt;0,(J294/100)+1,(100/((-1)*J294))+1)))*(IF(K294="",1,IF(K294&gt;0,(K294/100)+1,(100/((-1)*K294))+1)))*(IF(L294="",1,IF(L294&gt;0,(L294/100)+1,(100/((-1)*L294))+1))))-1)),((((IF(C294="",1,IF(C294&gt;0,(C294/100)+1,(100/((-1)*C294))+1)))*(IF(D294="",1,IF(D294&gt;0,(D294/100)+1,(100/((-1)*D294))+1)))*(IF(E294="",1,IF(E294&gt;0,(E294/100)+1,(100/((-1)*E294))+1)))*(IF(F294="",1,IF(F294&gt;0,(F294/100)+1,(100/((-1)*F294))+1)))*(IF(G294="",1,IF(G294&gt;0,(G294/100)+1,(100/((-1)*G294))+1)))*(IF(H294="",1,IF(H294&gt;0,(H294/100)+1,(100/((-1)*H294))+1)))*(IF(I294="",1,IF(I294&gt;0,(I294/100)+1,(100/((-1)*I294))+1)))*(IF(J294="",1,IF(J294&gt;0,(J294/100)+1,(100/((-1)*J294))+1)))*(IF(K294="",1,IF(K294&gt;0,(K294/100)+1,(100/((-1)*K294))+1)))*(IF(L294="",1,IF(L294&gt;0,(L294/100)+1,(100/((-1)*L294))+1))))-1)*(100))))&lt;0,(((-100)/((IF(((IF(C294="",1,IF(C294&gt;0,(C294/100)+1,(100/((-1)*C294))+1)))*(IF(D294="",1,IF(D294&gt;0,(D294/100)+1,(100/((-1)*D294))+1)))*(IF(E294="",1,IF(E294&gt;0,(E294/100)+1,(100/((-1)*E294))+1)))*(IF(F294="",1,IF(F294&gt;0,(F294/100)+1,(100/((-1)*F294))+1)))*(IF(G294="",1,IF(G294&gt;0,(G294/100)+1,(100/((-1)*G294))+1)))*(IF(H294="",1,IF(H294&gt;0,(H294/100)+1,(100/((-1)*H294))+1)))*(IF(I294="",1,IF(I294&gt;0,(I294/100)+1,(100/((-1)*I294))+1)))*(IF(J294="",1,IF(J294&gt;0,(J294/100)+1,(100/((-1)*J294))+1)))*(IF(K294="",1,IF(K294&gt;0,(K294/100)+1,(100/((-1)*K294))+1)))*(IF(L294="",1,IF(L294&gt;0,(L294/100)+1,(100/((-1)*L294))+1))))&lt;2,((-100)/(((IF(C294="",1,IF(C294&gt;0,(C294/100)+1,(100/((-1)*C294))+1)))*(IF(D294="",1,IF(D294&gt;0,(D294/100)+1,(100/((-1)*D294))+1)))*(IF(E294="",1,IF(E294&gt;0,(E294/100)+1,(100/((-1)*E294))+1)))*(IF(F294="",1,IF(F294&gt;0,(F294/100)+1,(100/((-1)*F294))+1)))*(IF(G294="",1,IF(G294&gt;0,(G294/100)+1,(100/((-1)*G294))+1)))*(IF(H294="",1,IF(H294&gt;0,(H294/100)+1,(100/((-1)*H294))+1)))*(IF(I294="",1,IF(I294&gt;0,(I294/100)+1,(100/((-1)*I294))+1)))*(IF(J294="",1,IF(J294&gt;0,(J294/100)+1,(100/((-1)*J294))+1)))*(IF(K294="",1,IF(K294&gt;0,(K294/100)+1,(100/((-1)*K294))+1)))*(IF(L294="",1,IF(L294&gt;0,(L294/100)+1,(100/((-1)*L294))+1))))-1)),((((IF(C294="",1,IF(C294&gt;0,(C294/100)+1,(100/((-1)*C294))+1)))*(IF(D294="",1,IF(D294&gt;0,(D294/100)+1,(100/((-1)*D294))+1)))*(IF(E294="",1,IF(E294&gt;0,(E294/100)+1,(100/((-1)*E294))+1)))*(IF(F294="",1,IF(F294&gt;0,(F294/100)+1,(100/((-1)*F294))+1)))*(IF(G294="",1,IF(G294&gt;0,(G294/100)+1,(100/((-1)*G294))+1)))*(IF(H294="",1,IF(H294&gt;0,(H294/100)+1,(100/((-1)*H294))+1)))*(IF(I294="",1,IF(I294&gt;0,(I294/100)+1,(100/((-1)*I294))+1)))*(IF(J294="",1,IF(J294&gt;0,(J294/100)+1,(100/((-1)*J294))+1)))*(IF(K294="",1,IF(K294&gt;0,(K294/100)+1,(100/((-1)*K294))+1)))*(IF(L294="",1,IF(L294&gt;0,(L294/100)+1,(100/((-1)*L294))+1))))-1)*(100))))))*10),(((IF(((IF(C294="",1,IF(C294&gt;0,(C294/100)+1,(100/((-1)*C294))+1)))*(IF(D294="",1,IF(D294&gt;0,(D294/100)+1,(100/((-1)*D294))+1)))*(IF(E294="",1,IF(E294&gt;0,(E294/100)+1,(100/((-1)*E294))+1)))*(IF(F294="",1,IF(F294&gt;0,(F294/100)+1,(100/((-1)*F294))+1)))*(IF(G294="",1,IF(G294&gt;0,(G294/100)+1,(100/((-1)*G294))+1)))*(IF(H294="",1,IF(H294&gt;0,(H294/100)+1,(100/((-1)*H294))+1)))*(IF(I294="",1,IF(I294&gt;0,(I294/100)+1,(100/((-1)*I294))+1)))*(IF(J294="",1,IF(J294&gt;0,(J294/100)+1,(100/((-1)*J294))+1)))*(IF(K294="",1,IF(K294&gt;0,(K294/100)+1,(100/((-1)*K294))+1)))*(IF(L294="",1,IF(L294&gt;0,(L294/100)+1,(100/((-1)*L294))+1))))&lt;2,((-100)/(((IF(C294="",1,IF(C294&gt;0,(C294/100)+1,(100/((-1)*C294))+1)))*(IF(D294="",1,IF(D294&gt;0,(D294/100)+1,(100/((-1)*D294))+1)))*(IF(E294="",1,IF(E294&gt;0,(E294/100)+1,(100/((-1)*E294))+1)))*(IF(F294="",1,IF(F294&gt;0,(F294/100)+1,(100/((-1)*F294))+1)))*(IF(G294="",1,IF(G294&gt;0,(G294/100)+1,(100/((-1)*G294))+1)))*(IF(H294="",1,IF(H294&gt;0,(H294/100)+1,(100/((-1)*H294))+1)))*(IF(I294="",1,IF(I294&gt;0,(I294/100)+1,(100/((-1)*I294))+1)))*(IF(J294="",1,IF(J294&gt;0,(J294/100)+1,(100/((-1)*J294))+1)))*(IF(K294="",1,IF(K294&gt;0,(K294/100)+1,(100/((-1)*K294))+1)))*(IF(L294="",1,IF(L294&gt;0,(L294/100)+1,(100/((-1)*L294))+1))))-1)),((((IF(C294="",1,IF(C294&gt;0,(C294/100)+1,(100/((-1)*C294))+1)))*(IF(D294="",1,IF(D294&gt;0,(D294/100)+1,(100/((-1)*D294))+1)))*(IF(E294="",1,IF(E294&gt;0,(E294/100)+1,(100/((-1)*E294))+1)))*(IF(F294="",1,IF(F294&gt;0,(F294/100)+1,(100/((-1)*F294))+1)))*(IF(G294="",1,IF(G294&gt;0,(G294/100)+1,(100/((-1)*G294))+1)))*(IF(H294="",1,IF(H294&gt;0,(H294/100)+1,(100/((-1)*H294))+1)))*(IF(I294="",1,IF(I294&gt;0,(I294/100)+1,(100/((-1)*I294))+1)))*(IF(J294="",1,IF(J294&gt;0,(J294/100)+1,(100/((-1)*J294))+1)))*(IF(K294="",1,IF(K294&gt;0,(K294/100)+1,(100/((-1)*K294))+1)))*(IF(L294="",1,IF(L294&gt;0,(L294/100)+1,(100/((-1)*L294))+1))))-1)*(100))))/100)*10)))</f>
        <v>2879.601807</v>
      </c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 ht="16.5" customHeight="1">
      <c r="A295" s="3" t="s">
        <v>37</v>
      </c>
      <c r="B295" s="2"/>
      <c r="C295" s="18" t="str">
        <f>'2025'!C148</f>
        <v>Giants @ Lions</v>
      </c>
      <c r="D295" s="18" t="str">
        <f>'2025'!D148</f>
        <v>Vikings @ Packers</v>
      </c>
      <c r="E295" s="18" t="str">
        <f>'2025'!E148</f>
        <v>Browns @ Raiders</v>
      </c>
      <c r="F295" s="18" t="str">
        <f>'2025'!F148</f>
        <v>Buccaneers @ Rams</v>
      </c>
      <c r="G295" s="18" t="str">
        <f>'2025'!G148</f>
        <v>Falcons @ Saints</v>
      </c>
      <c r="H295" s="18" t="str">
        <f>'2025'!H148</f>
        <v>Seahawks @ Titans</v>
      </c>
      <c r="I295" s="18" t="str">
        <f>'2025'!I148</f>
        <v>Colts @ Chiefs</v>
      </c>
      <c r="J295" s="18" t="str">
        <f>'2025'!J148</f>
        <v>Patriots @ Bengals</v>
      </c>
      <c r="K295" s="18" t="str">
        <f>'2025'!K148</f>
        <v>Eagles @ Cowboys</v>
      </c>
      <c r="L295" s="18" t="str">
        <f>'2025'!L148</f>
        <v>Steelers @ Bears</v>
      </c>
      <c r="M295" s="2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 ht="16.5" customHeight="1">
      <c r="A296" s="3" t="s">
        <v>48</v>
      </c>
      <c r="B296" s="2"/>
      <c r="C296" s="18" t="str">
        <f>'2025'!C149</f>
        <v>1 TD @ Lions Win</v>
      </c>
      <c r="D296" s="32">
        <f>'2025'!D149</f>
        <v>45831</v>
      </c>
      <c r="E296" s="18" t="str">
        <f>'2025'!E149</f>
        <v>24-10</v>
      </c>
      <c r="F296" s="18" t="str">
        <f>'2025'!F149</f>
        <v>7-34</v>
      </c>
      <c r="G296" s="18" t="str">
        <f>'2025'!G149</f>
        <v>24-10</v>
      </c>
      <c r="H296" s="18" t="str">
        <f>'2025'!H149</f>
        <v>30-24</v>
      </c>
      <c r="I296" s="18" t="str">
        <f>'2025'!I149</f>
        <v>58 Rush Yards</v>
      </c>
      <c r="J296" s="18" t="str">
        <f>'2025'!J149</f>
        <v>26-20</v>
      </c>
      <c r="K296" s="18" t="str">
        <f>'2025'!K149</f>
        <v>354 Pass Yards</v>
      </c>
      <c r="L296" s="18" t="str">
        <f>'2025'!L149</f>
        <v>1 Field Goal</v>
      </c>
      <c r="M296" s="2"/>
      <c r="N296" s="4"/>
      <c r="O296" s="3" t="s">
        <v>56</v>
      </c>
      <c r="P296" s="3" t="s">
        <v>57</v>
      </c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 ht="16.5" customHeight="1">
      <c r="A297" s="3" t="s">
        <v>59</v>
      </c>
      <c r="B297" s="2"/>
      <c r="C297" s="18" t="str">
        <f>'2025'!C150</f>
        <v>W</v>
      </c>
      <c r="D297" s="18" t="str">
        <f>'2025'!D150</f>
        <v>L</v>
      </c>
      <c r="E297" s="18" t="str">
        <f>'2025'!E150</f>
        <v>W</v>
      </c>
      <c r="F297" s="18" t="str">
        <f>'2025'!F150</f>
        <v>L</v>
      </c>
      <c r="G297" s="18" t="str">
        <f>'2025'!G150</f>
        <v>L</v>
      </c>
      <c r="H297" s="18" t="str">
        <f>'2025'!H150</f>
        <v>L</v>
      </c>
      <c r="I297" s="18" t="str">
        <f>'2025'!I150</f>
        <v>L</v>
      </c>
      <c r="J297" s="18" t="str">
        <f>'2025'!J150</f>
        <v>L</v>
      </c>
      <c r="K297" s="18" t="str">
        <f>'2025'!K150</f>
        <v>W</v>
      </c>
      <c r="L297" s="18" t="str">
        <f>'2025'!L150</f>
        <v>L</v>
      </c>
      <c r="M297" s="2"/>
      <c r="N297" s="3" t="s">
        <v>65</v>
      </c>
      <c r="O297" s="12" t="str">
        <f>IFERROR(__xludf.DUMMYFUNCTION("IF(OR(COUNTA(C294:L294) = 0, COUNTA(C297:L297) = 0), """", IFERROR(TEXTJOIN("", "", TRUE, FILTER(C291:L291, (C297:L297 = ""W"") * (C294:L294 = MAX(FILTER(C294:L294, C297:L297 = ""W""))))), """"))"),"Austin")</f>
        <v>Austin</v>
      </c>
      <c r="P297" s="12" t="str">
        <f>IFERROR(__xludf.DUMMYFUNCTION("IF(COUNTA(C302:L302) = 0, """", IFERROR(TEXTJOIN("", "", TRUE, FILTER(C291:L291, C302:L302 = MAX(C302:L302))), """"))"),"Carson")</f>
        <v>Carson</v>
      </c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 ht="16.5" customHeight="1">
      <c r="A298" s="1" t="s">
        <v>81</v>
      </c>
      <c r="B298" s="2"/>
      <c r="C298" s="4">
        <f t="shared" ref="C298:L298" si="89">IF(OR(C294="",C297=""),"",C285+COUNTIF(C297,"W"))</f>
        <v>15</v>
      </c>
      <c r="D298" s="4">
        <f t="shared" si="89"/>
        <v>17</v>
      </c>
      <c r="E298" s="4">
        <f t="shared" si="89"/>
        <v>12</v>
      </c>
      <c r="F298" s="4">
        <f t="shared" si="89"/>
        <v>12</v>
      </c>
      <c r="G298" s="4">
        <f t="shared" si="89"/>
        <v>13</v>
      </c>
      <c r="H298" s="4">
        <f t="shared" si="89"/>
        <v>12</v>
      </c>
      <c r="I298" s="4">
        <f t="shared" si="89"/>
        <v>10</v>
      </c>
      <c r="J298" s="4">
        <f t="shared" si="89"/>
        <v>12</v>
      </c>
      <c r="K298" s="4">
        <f t="shared" si="89"/>
        <v>11</v>
      </c>
      <c r="L298" s="4">
        <f t="shared" si="89"/>
        <v>13</v>
      </c>
      <c r="M298" s="2"/>
      <c r="N298" s="3" t="s">
        <v>82</v>
      </c>
      <c r="O298" s="4" t="str">
        <f>IFERROR(__xludf.DUMMYFUNCTION("IF(OR(COUNTA(C294:L294) = 0, COUNTA(C297:L297) = 0), """", IFERROR(TEXTJOIN("", "", TRUE, FILTER(C291:L291, (C297:L297 = ""L"") * (C294:L294 = MIN(FILTER(C294:L294, C297:L297 = ""L""))))), """"))"),"Nick")</f>
        <v>Nick</v>
      </c>
      <c r="P298" s="12" t="str">
        <f>IFERROR(__xludf.DUMMYFUNCTION("IF(COUNTA(C302:L302) = 0, """", IFERROR(TEXTJOIN("", "", TRUE, FILTER(C291:L291, C302:L302 = MIN(C302:L302))), """"))"),"Nick")</f>
        <v>Nick</v>
      </c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 ht="16.5" customHeight="1">
      <c r="A299" s="1" t="s">
        <v>83</v>
      </c>
      <c r="B299" s="2"/>
      <c r="C299" s="27">
        <f t="shared" ref="C299:L299" si="90">IF(OR(C294="",C297=""),"",C286+COUNTIF(C297,"L"))</f>
        <v>8</v>
      </c>
      <c r="D299" s="27">
        <f t="shared" si="90"/>
        <v>6</v>
      </c>
      <c r="E299" s="27">
        <f t="shared" si="90"/>
        <v>11</v>
      </c>
      <c r="F299" s="27">
        <f t="shared" si="90"/>
        <v>11</v>
      </c>
      <c r="G299" s="27">
        <f t="shared" si="90"/>
        <v>10</v>
      </c>
      <c r="H299" s="27">
        <f t="shared" si="90"/>
        <v>11</v>
      </c>
      <c r="I299" s="27">
        <f t="shared" si="90"/>
        <v>13</v>
      </c>
      <c r="J299" s="27">
        <f t="shared" si="90"/>
        <v>11</v>
      </c>
      <c r="K299" s="27">
        <f t="shared" si="90"/>
        <v>12</v>
      </c>
      <c r="L299" s="27">
        <f t="shared" si="90"/>
        <v>10</v>
      </c>
      <c r="M299" s="2"/>
      <c r="N299" s="3" t="s">
        <v>84</v>
      </c>
      <c r="O299" s="12" t="str">
        <f>IFERROR(__xludf.DUMMYFUNCTION("IF(COUNTA(C294:L294) = 0, """", IFERROR(TEXTJOIN("", "", TRUE, FILTER(C291:L291, C294:L294 = MAX(C294:L294))), """"))"),"Austin")</f>
        <v>Austin</v>
      </c>
      <c r="P299" s="4" t="str">
        <f>IFERROR(__xludf.DUMMYFUNCTION("IF(COUNTA(C294:L294) = 0, """", IFERROR(TEXTJOIN("", "", TRUE, FILTER(C291:L291, C301:L301 = MAX(C301:L301))), """"))"),"Jake")</f>
        <v>Jake</v>
      </c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 ht="16.5" customHeight="1">
      <c r="A300" s="3" t="s">
        <v>85</v>
      </c>
      <c r="B300" s="2"/>
      <c r="C300" s="24">
        <f t="shared" ref="C300:L300" si="91">IF(OR(C294="",C297=""),"",(C298/(C298+C299)))</f>
        <v>0.652173913</v>
      </c>
      <c r="D300" s="24">
        <f t="shared" si="91"/>
        <v>0.7391304348</v>
      </c>
      <c r="E300" s="24">
        <f t="shared" si="91"/>
        <v>0.5217391304</v>
      </c>
      <c r="F300" s="24">
        <f t="shared" si="91"/>
        <v>0.5217391304</v>
      </c>
      <c r="G300" s="24">
        <f t="shared" si="91"/>
        <v>0.5652173913</v>
      </c>
      <c r="H300" s="24">
        <f t="shared" si="91"/>
        <v>0.5217391304</v>
      </c>
      <c r="I300" s="24">
        <f t="shared" si="91"/>
        <v>0.4347826087</v>
      </c>
      <c r="J300" s="24">
        <f t="shared" si="91"/>
        <v>0.5217391304</v>
      </c>
      <c r="K300" s="24">
        <f t="shared" si="91"/>
        <v>0.4782608696</v>
      </c>
      <c r="L300" s="24">
        <f t="shared" si="91"/>
        <v>0.5652173913</v>
      </c>
      <c r="M300" s="14"/>
      <c r="N300" s="3" t="s">
        <v>86</v>
      </c>
      <c r="O300" s="4" t="str">
        <f>IFERROR(__xludf.DUMMYFUNCTION("IF(COUNTA(C294:L294) = 0, """", IFERROR(TEXTJOIN("", "", TRUE, FILTER(C291:L291, C294:L294 = MIN(C294:L294))), """"))"),"Clayton")</f>
        <v>Clayton</v>
      </c>
      <c r="P300" s="4" t="str">
        <f>IFERROR(__xludf.DUMMYFUNCTION("IF(COUNTA(C294:L294) = 0, """", IFERROR(TEXTJOIN("", "", TRUE, FILTER(C291:L291, C301:L301 = MIN(C301:L301))), """"))"),"Carson")</f>
        <v>Carson</v>
      </c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 ht="16.5" customHeight="1">
      <c r="A301" s="3" t="s">
        <v>87</v>
      </c>
      <c r="B301" s="2"/>
      <c r="C301" s="25">
        <f t="shared" ref="C301:L301" si="92">IF(C294="","",IF(((IF(C294 &lt;0,((-100/C294)+1),((C294/100)+1))+(IF(C288&lt;0,((-100/C288)+1),((C288/100)+1)))*(C285+C286))/(C285+C286+1))&lt;2,(-100/(((IF(C294 &lt;0,((-100/C294)+1),((C294/100)+1))+(IF(C288&lt;0,((-100/C288)+1),((C288/100)+1)))*(C285+C286))/(C285+C286+1))-1)),(((IF(C294 &lt;0,((-100/C294)+1),((C294/100)+1))+(IF(C288&lt;0,((-100/C288)+1),((C288/100)+1)))*(C285+C286))/(C285+C286+1))-1)*100))</f>
        <v>-121.107503</v>
      </c>
      <c r="D301" s="25">
        <f t="shared" si="92"/>
        <v>-131.8461674</v>
      </c>
      <c r="E301" s="25">
        <f t="shared" si="92"/>
        <v>-121.4270697</v>
      </c>
      <c r="F301" s="25">
        <f t="shared" si="92"/>
        <v>-119.8555991</v>
      </c>
      <c r="G301" s="25">
        <f t="shared" si="92"/>
        <v>-100.8851405</v>
      </c>
      <c r="H301" s="25">
        <f t="shared" si="92"/>
        <v>101.7173908</v>
      </c>
      <c r="I301" s="25">
        <f t="shared" si="92"/>
        <v>-122.3910514</v>
      </c>
      <c r="J301" s="25">
        <f t="shared" si="92"/>
        <v>-126.1594492</v>
      </c>
      <c r="K301" s="25">
        <f t="shared" si="92"/>
        <v>-119.9912644</v>
      </c>
      <c r="L301" s="25">
        <f t="shared" si="92"/>
        <v>-110.5048556</v>
      </c>
      <c r="M301" s="14"/>
      <c r="N301" s="4"/>
      <c r="O301" s="12"/>
      <c r="P301" s="12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 ht="16.5" customHeight="1">
      <c r="A302" s="16" t="s">
        <v>88</v>
      </c>
      <c r="B302" s="2"/>
      <c r="C302" s="26">
        <f>IFERROR(__xludf.DUMMYFUNCTION("IF(OR(C294="""",C297=""""),"""",IF(REGEXMATCH(C297,""W""),IF(C294&lt;0,((-100/C294))*10+C289,((C294/100)*10+C289)),-10+C289))"),39.96958730685114)</f>
        <v>39.96958731</v>
      </c>
      <c r="D302" s="26">
        <f>IFERROR(__xludf.DUMMYFUNCTION("IF(OR(D294="""",D297=""""),"""",IF(REGEXMATCH(D297,""W""),IF(D294&lt;0,((-100/D294))*10+D289,((D294/100)*10+D289)),-10+D289))"),63.88045097336281)</f>
        <v>63.88045097</v>
      </c>
      <c r="E302" s="26">
        <f>IFERROR(__xludf.DUMMYFUNCTION("IF(OR(E294="""",E297=""""),"""",IF(REGEXMATCH(E297,""W""),IF(E294&lt;0,((-100/E294))*10+E289,((E294/100)*10+E289)),-10+E289))"),-11.697225343528345)</f>
        <v>-11.69722534</v>
      </c>
      <c r="F302" s="26">
        <f>IFERROR(__xludf.DUMMYFUNCTION("IF(OR(F294="""",F297=""""),"""",IF(REGEXMATCH(F297,""W""),IF(F294&lt;0,((-100/F294))*10+F289,((F294/100)*10+F289)),-10+F289))"),-12.152162526287306)</f>
        <v>-12.15216253</v>
      </c>
      <c r="G302" s="26">
        <f>IFERROR(__xludf.DUMMYFUNCTION("IF(OR(G294="""",G297=""""),"""",IF(REGEXMATCH(G297,""W""),IF(G294&lt;0,((-100/G294))*10+G289,((G294/100)*10+G289)),-10+G289))"),11.04922241052261)</f>
        <v>11.04922241</v>
      </c>
      <c r="H302" s="26">
        <f>IFERROR(__xludf.DUMMYFUNCTION("IF(OR(H294="""",H297=""""),"""",IF(REGEXMATCH(H297,""W""),IF(H294&lt;0,((-100/H294))*10+H289,((H294/100)*10+H289)),-10+H289))"),6.0452840316221135)</f>
        <v>6.045284032</v>
      </c>
      <c r="I302" s="26">
        <f>IFERROR(__xludf.DUMMYFUNCTION("IF(OR(I294="""",I297=""""),"""",IF(REGEXMATCH(I297,""W""),IF(I294&lt;0,((-100/I294))*10+I289,((I294/100)*10+I289)),-10+I289))"),-58.83369436093271)</f>
        <v>-58.83369436</v>
      </c>
      <c r="J302" s="26">
        <f>IFERROR(__xludf.DUMMYFUNCTION("IF(OR(J294="""",J297=""""),"""",IF(REGEXMATCH(J297,""W""),IF(J294&lt;0,((-100/J294))*10+J289,((J294/100)*10+J289)),-10+J289))"),-14.154681247473409)</f>
        <v>-14.15468125</v>
      </c>
      <c r="K302" s="26">
        <f>IFERROR(__xludf.DUMMYFUNCTION("IF(OR(K294="""",K297=""""),"""",IF(REGEXMATCH(K297,""W""),IF(K294&lt;0,((-100/K294))*10+K289,((K294/100)*10+K289)),-10+K289))"),-29.767108075178207)</f>
        <v>-29.76710808</v>
      </c>
      <c r="L302" s="26">
        <f>IFERROR(__xludf.DUMMYFUNCTION("IF(OR(L294="""",L297=""""),"""",IF(REGEXMATCH(L297,""W""),IF(L294&lt;0,((-100/L294))*10+L289,((L294/100)*10+L289)),-10+L289))"),18.633128830171742)</f>
        <v>18.63312883</v>
      </c>
      <c r="M302" s="14"/>
      <c r="N302" s="16" t="s">
        <v>89</v>
      </c>
      <c r="O302" s="10">
        <f>IFERROR(__xludf.DUMMYFUNCTION("IF(AND(C302="""",AND(D302="""",AND(E302="""",AND(F302="""",AND(G302="""",AND(H302="""",AND(I302="""",AND(J302="""",AND(K302="""",L302=""""))))))))),"""",(IF(C297="""",0,IF(REGEXMATCH(C297,""W""),IF(C294&lt;0,((-100/C294))*10,((C294/100)*10)),-10))+IF(D297="""&amp;""",0,IF(REGEXMATCH(D297,""W""),IF(D294&lt;0,((-100/D294))*10,((D294/100)*10)),-10))+IF(E297="""",0,IF(REGEXMATCH(E297,""W""),IF(E294&lt;0,((-100/E294))*10,((E294/100)*10)),-10))+IF(F297="""",0,IF(REGEXMATCH(F297,""W""),IF(F294&lt;0,((-100/F294))*10,((F294/100)*10)"&amp;"),-10))+IF(G297="""",0,IF(REGEXMATCH(G297,""W""),IF(G294&lt;0,((-100/G294))*10,((G294/100)*10)),-10))+IF(H297="""",0,IF(REGEXMATCH(H297,""W""),IF(H294&lt;0,((-100/H294))*10,((H294/100)*10)),-10))+IF(I297="""",0,IF(REGEXMATCH(I297,""W""),IF(I294&lt;0,((-100/I294))*"&amp;"10,((I294/100)*10)),-10))+IF(J297="""",0,IF(REGEXMATCH(J297,""W""),IF(J294&lt;0,((-100/J294))*10,((J294/100)*10)),-10))+IF(K297="""",0,IF(REGEXMATCH(K297,""W""),IF(K294&lt;0,((-100/K294))*10,((K294/100)*10)),-10))+IF(L297="""",0,IF(REGEXMATCH(L297,""W""),IF(L29"&amp;"4&lt;0,((-100/L294))*10,((L294/100)*10)),-10))))"),-47.006493506493506)</f>
        <v>-47.00649351</v>
      </c>
      <c r="P302" s="10">
        <f>IFERROR(__xludf.DUMMYFUNCTION("IF(AND(C302="""",AND(D302="""",AND(E302="""",AND(F302="""",AND(G302="""",AND(H302="""",AND(I302="""",AND(J302="""",AND(K302="""",L302=""""))))))))),"""",(P289+IF(C297="""",0,IF(REGEXMATCH(C297,""W""),IF(C294&lt;0,((-100/C294))*10,((C294/100)*10)),-10))+IF(D2"&amp;"97="""",0,IF(REGEXMATCH(D297,""W""),IF(D294&lt;0,((-100/D294))*10,((D294/100)*10)),-10))+IF(E297="""",0,IF(REGEXMATCH(E297,""W""),IF(E294&lt;0,((-100/E294))*10,((E294/100)*10)),-10))+IF(F297="""",0,IF(REGEXMATCH(F297,""W""),IF(F294&lt;0,((-100/F294))*10,((F294/100"&amp;")*10)),-10))+IF(G297="""",0,IF(REGEXMATCH(G297,""W""),IF(G294&lt;0,((-100/G294))*10,((G294/100)*10)),-10))+IF(H297="""",0,IF(REGEXMATCH(H297,""W""),IF(H294&lt;0,((-100/H294))*10,((H294/100)*10)),-10))+IF(I297="""",0,IF(REGEXMATCH(I297,""W""),IF(I294&lt;0,((-100/I2"&amp;"94))*10,((I294/100)*10)),-10))+IF(J297="""",0,IF(REGEXMATCH(J297,""W""),IF(J294&lt;0,((-100/J294))*10,((J294/100)*10)),-10))+IF(K297="""",0,IF(REGEXMATCH(K297,""W""),IF(K294&lt;0,((-100/K294))*10,((K294/100)*10)),-10))+IF(L297="""",0,IF(REGEXMATCH(L297,""W""),I"&amp;"F(L294&lt;0,((-100/L294))*10,((L294/100)*10)),-10))))"),12.972801999130347)</f>
        <v>12.972802</v>
      </c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 ht="16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 ht="16.5" customHeight="1">
      <c r="A304" s="1" t="s">
        <v>399</v>
      </c>
      <c r="B304" s="2"/>
      <c r="C304" s="3" t="s">
        <v>1</v>
      </c>
      <c r="D304" s="3" t="s">
        <v>2</v>
      </c>
      <c r="E304" s="3" t="s">
        <v>3</v>
      </c>
      <c r="F304" s="3" t="s">
        <v>4</v>
      </c>
      <c r="G304" s="3" t="s">
        <v>5</v>
      </c>
      <c r="H304" s="3" t="s">
        <v>6</v>
      </c>
      <c r="I304" s="3" t="s">
        <v>7</v>
      </c>
      <c r="J304" s="3" t="s">
        <v>8</v>
      </c>
      <c r="K304" s="3" t="s">
        <v>9</v>
      </c>
      <c r="L304" s="3" t="s">
        <v>10</v>
      </c>
      <c r="M304" s="2"/>
      <c r="N304" s="4"/>
      <c r="O304" s="3" t="s">
        <v>11</v>
      </c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 ht="16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 ht="16.5" customHeight="1">
      <c r="A306" s="3" t="s">
        <v>12</v>
      </c>
      <c r="B306" s="2"/>
      <c r="C306" s="12" t="str">
        <f>'2025'!C159</f>
        <v>Broncos -6.5</v>
      </c>
      <c r="D306" s="12" t="str">
        <f>'2025'!D159</f>
        <v>Chiefs -2.5</v>
      </c>
      <c r="E306" s="12" t="str">
        <f>'2025'!E159</f>
        <v>Patriots -3.5</v>
      </c>
      <c r="F306" s="12" t="str">
        <f>'2025'!F159</f>
        <v>Seahawks -9.5</v>
      </c>
      <c r="G306" s="12" t="str">
        <f>'2025'!G159</f>
        <v>Over 4.5 Total Touchdowns</v>
      </c>
      <c r="H306" s="12" t="str">
        <f>'2025'!H159</f>
        <v>Browns +7.5</v>
      </c>
      <c r="I306" s="12" t="str">
        <f>'2025'!I159</f>
        <v>Chargers -13.5</v>
      </c>
      <c r="J306" s="12" t="str">
        <f>'2025'!J159</f>
        <v>T. Etienne Any TD &amp; Jaguars Win</v>
      </c>
      <c r="K306" s="12" t="str">
        <f>'2025'!K159</f>
        <v>T. Taylor 183+ Pass Yards</v>
      </c>
      <c r="L306" s="12" t="str">
        <f>'2025'!L159</f>
        <v>Over 5.5 Touchdowns</v>
      </c>
      <c r="M306" s="2"/>
      <c r="N306" s="3" t="s">
        <v>13</v>
      </c>
      <c r="O306" s="7">
        <f>IF(AND(C307="",AND(D307="",AND(E307="",AND(F307="",AND(G307="",AND(H307="",AND(I307="",AND(J307="",AND(K307="",L307=""))))))))),"",IF(((IF(C307="",1,IF(C307&gt;0,(C307/100)+1,(100/((-1)*C307))+1)))*(IF(D307="",1,IF(D307&gt;0,(D307/100)+1,(100/((-1)*D307))+1)))*(IF(E307="",1,IF(E307&gt;0,(E307/100)+1,(100/((-1)*E307))+1)))*(IF(F307="",1,IF(F307&gt;0,(F307/100)+1,(100/((-1)*F307))+1)))*(IF(G307="",1,IF(G307&gt;0,(G307/100)+1,(100/((-1)*G307))+1)))*(IF(H307="",1,IF(H307&gt;0,(H307/100)+1,(100/((-1)*H307))+1)))*(IF(I307="",1,IF(I307&gt;0,(I307/100)+1,(100/((-1)*I307))+1)))*(IF(J307="",1,IF(J307&gt;0,(J307/100)+1,(100/((-1)*J307))+1)))*(IF(K307="",1,IF(K307&gt;0,(K307/100)+1,(100/((-1)*K307))+1)))*(IF(L307="",1,IF(L307&gt;0,(L307/100)+1,(100/((-1)*L307))+1))))&lt;2,((-100)/(((IF(C307="",1,IF(C307&gt;0,(C307/100)+1,(100/((-1)*C307))+1)))*(IF(D307="",1,IF(D307&gt;0,(D307/100)+1,(100/((-1)*D307))+1)))*(IF(E307="",1,IF(E307&gt;0,(E307/100)+1,(100/((-1)*E307))+1)))*(IF(F307="",1,IF(F307&gt;0,(F307/100)+1,(100/((-1)*F307))+1)))*(IF(G307="",1,IF(G307&gt;0,(G307/100)+1,(100/((-1)*G307))+1)))*(IF(H307="",1,IF(H307&gt;0,(H307/100)+1,(100/((-1)*H307))+1)))*(IF(I307="",1,IF(I307&gt;0,(I307/100)+1,(100/((-1)*I307))+1)))*(IF(J307="",1,IF(J307&gt;0,(J307/100)+1,(100/((-1)*J307))+1)))*(IF(K307="",1,IF(K307&gt;0,(K307/100)+1,(100/((-1)*K307))+1)))*(IF(L307="",1,IF(L307&gt;0,(L307/100)+1,(100/((-1)*L307))+1))))-1)),((((IF(C307="",1,IF(C307&gt;0,(C307/100)+1,(100/((-1)*C307))+1)))*(IF(D307="",1,IF(D307&gt;0,(D307/100)+1,(100/((-1)*D307))+1)))*(IF(E307="",1,IF(E307&gt;0,(E307/100)+1,(100/((-1)*E307))+1)))*(IF(F307="",1,IF(F307&gt;0,(F307/100)+1,(100/((-1)*F307))+1)))*(IF(G307="",1,IF(G307&gt;0,(G307/100)+1,(100/((-1)*G307))+1)))*(IF(H307="",1,IF(H307&gt;0,(H307/100)+1,(100/((-1)*H307))+1)))*(IF(I307="",1,IF(I307&gt;0,(I307/100)+1,(100/((-1)*I307))+1)))*(IF(J307="",1,IF(J307&gt;0,(J307/100)+1,(100/((-1)*J307))+1)))*(IF(K307="",1,IF(K307&gt;0,(K307/100)+1,(100/((-1)*K307))+1)))*(IF(L307="",1,IF(L307&gt;0,(L307/100)+1,(100/((-1)*L307))+1))))-1)*(100))))</f>
        <v>40887.90383</v>
      </c>
      <c r="P306" s="4"/>
      <c r="Q306" s="8" t="s">
        <v>35</v>
      </c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 ht="16.5" customHeight="1">
      <c r="A307" s="3" t="s">
        <v>13</v>
      </c>
      <c r="B307" s="2"/>
      <c r="C307" s="18">
        <f>'2025'!C160</f>
        <v>102</v>
      </c>
      <c r="D307" s="18">
        <f>'2025'!D160</f>
        <v>-152</v>
      </c>
      <c r="E307" s="18">
        <f>'2025'!E160</f>
        <v>-185</v>
      </c>
      <c r="F307" s="18">
        <f>'2025'!F160</f>
        <v>-159</v>
      </c>
      <c r="G307" s="18">
        <f>'2025'!G160</f>
        <v>-145</v>
      </c>
      <c r="H307" s="18">
        <f>'2025'!H160</f>
        <v>-175</v>
      </c>
      <c r="I307" s="18">
        <f>'2025'!I160</f>
        <v>140</v>
      </c>
      <c r="J307" s="18">
        <f>'2025'!J160</f>
        <v>110</v>
      </c>
      <c r="K307" s="18">
        <f>'2025'!K160</f>
        <v>-119</v>
      </c>
      <c r="L307" s="18">
        <f>'2025'!L160</f>
        <v>-102</v>
      </c>
      <c r="M307" s="2">
        <v>13.0</v>
      </c>
      <c r="N307" s="3" t="s">
        <v>36</v>
      </c>
      <c r="O307" s="10">
        <f>IF(AND(C307="",AND(D307="",AND(E307="",AND(F307="",AND(G307="",AND(H307="",AND(I307="",AND(J307="",AND(K307="",L307=""))))))))),"",10+IF((IF(((IF(C307="",1,IF(C307&gt;0,(C307/100)+1,(100/((-1)*C307))+1)))*(IF(D307="",1,IF(D307&gt;0,(D307/100)+1,(100/((-1)*D307))+1)))*(IF(E307="",1,IF(E307&gt;0,(E307/100)+1,(100/((-1)*E307))+1)))*(IF(F307="",1,IF(F307&gt;0,(F307/100)+1,(100/((-1)*F307))+1)))*(IF(G307="",1,IF(G307&gt;0,(G307/100)+1,(100/((-1)*G307))+1)))*(IF(H307="",1,IF(H307&gt;0,(H307/100)+1,(100/((-1)*H307))+1)))*(IF(I307="",1,IF(I307&gt;0,(I307/100)+1,(100/((-1)*I307))+1)))*(IF(J307="",1,IF(J307&gt;0,(J307/100)+1,(100/((-1)*J307))+1)))*(IF(K307="",1,IF(K307&gt;0,(K307/100)+1,(100/((-1)*K307))+1)))*(IF(L307="",1,IF(L307&gt;0,(L307/100)+1,(100/((-1)*L307))+1))))&lt;2,((-100)/(((IF(C307="",1,IF(C307&gt;0,(C307/100)+1,(100/((-1)*C307))+1)))*(IF(D307="",1,IF(D307&gt;0,(D307/100)+1,(100/((-1)*D307))+1)))*(IF(E307="",1,IF(E307&gt;0,(E307/100)+1,(100/((-1)*E307))+1)))*(IF(F307="",1,IF(F307&gt;0,(F307/100)+1,(100/((-1)*F307))+1)))*(IF(G307="",1,IF(G307&gt;0,(G307/100)+1,(100/((-1)*G307))+1)))*(IF(H307="",1,IF(H307&gt;0,(H307/100)+1,(100/((-1)*H307))+1)))*(IF(I307="",1,IF(I307&gt;0,(I307/100)+1,(100/((-1)*I307))+1)))*(IF(J307="",1,IF(J307&gt;0,(J307/100)+1,(100/((-1)*J307))+1)))*(IF(K307="",1,IF(K307&gt;0,(K307/100)+1,(100/((-1)*K307))+1)))*(IF(L307="",1,IF(L307&gt;0,(L307/100)+1,(100/((-1)*L307))+1))))-1)),((((IF(C307="",1,IF(C307&gt;0,(C307/100)+1,(100/((-1)*C307))+1)))*(IF(D307="",1,IF(D307&gt;0,(D307/100)+1,(100/((-1)*D307))+1)))*(IF(E307="",1,IF(E307&gt;0,(E307/100)+1,(100/((-1)*E307))+1)))*(IF(F307="",1,IF(F307&gt;0,(F307/100)+1,(100/((-1)*F307))+1)))*(IF(G307="",1,IF(G307&gt;0,(G307/100)+1,(100/((-1)*G307))+1)))*(IF(H307="",1,IF(H307&gt;0,(H307/100)+1,(100/((-1)*H307))+1)))*(IF(I307="",1,IF(I307&gt;0,(I307/100)+1,(100/((-1)*I307))+1)))*(IF(J307="",1,IF(J307&gt;0,(J307/100)+1,(100/((-1)*J307))+1)))*(IF(K307="",1,IF(K307&gt;0,(K307/100)+1,(100/((-1)*K307))+1)))*(IF(L307="",1,IF(L307&gt;0,(L307/100)+1,(100/((-1)*L307))+1))))-1)*(100))))&lt;0,(((-100)/((IF(((IF(C307="",1,IF(C307&gt;0,(C307/100)+1,(100/((-1)*C307))+1)))*(IF(D307="",1,IF(D307&gt;0,(D307/100)+1,(100/((-1)*D307))+1)))*(IF(E307="",1,IF(E307&gt;0,(E307/100)+1,(100/((-1)*E307))+1)))*(IF(F307="",1,IF(F307&gt;0,(F307/100)+1,(100/((-1)*F307))+1)))*(IF(G307="",1,IF(G307&gt;0,(G307/100)+1,(100/((-1)*G307))+1)))*(IF(H307="",1,IF(H307&gt;0,(H307/100)+1,(100/((-1)*H307))+1)))*(IF(I307="",1,IF(I307&gt;0,(I307/100)+1,(100/((-1)*I307))+1)))*(IF(J307="",1,IF(J307&gt;0,(J307/100)+1,(100/((-1)*J307))+1)))*(IF(K307="",1,IF(K307&gt;0,(K307/100)+1,(100/((-1)*K307))+1)))*(IF(L307="",1,IF(L307&gt;0,(L307/100)+1,(100/((-1)*L307))+1))))&lt;2,((-100)/(((IF(C307="",1,IF(C307&gt;0,(C307/100)+1,(100/((-1)*C307))+1)))*(IF(D307="",1,IF(D307&gt;0,(D307/100)+1,(100/((-1)*D307))+1)))*(IF(E307="",1,IF(E307&gt;0,(E307/100)+1,(100/((-1)*E307))+1)))*(IF(F307="",1,IF(F307&gt;0,(F307/100)+1,(100/((-1)*F307))+1)))*(IF(G307="",1,IF(G307&gt;0,(G307/100)+1,(100/((-1)*G307))+1)))*(IF(H307="",1,IF(H307&gt;0,(H307/100)+1,(100/((-1)*H307))+1)))*(IF(I307="",1,IF(I307&gt;0,(I307/100)+1,(100/((-1)*I307))+1)))*(IF(J307="",1,IF(J307&gt;0,(J307/100)+1,(100/((-1)*J307))+1)))*(IF(K307="",1,IF(K307&gt;0,(K307/100)+1,(100/((-1)*K307))+1)))*(IF(L307="",1,IF(L307&gt;0,(L307/100)+1,(100/((-1)*L307))+1))))-1)),((((IF(C307="",1,IF(C307&gt;0,(C307/100)+1,(100/((-1)*C307))+1)))*(IF(D307="",1,IF(D307&gt;0,(D307/100)+1,(100/((-1)*D307))+1)))*(IF(E307="",1,IF(E307&gt;0,(E307/100)+1,(100/((-1)*E307))+1)))*(IF(F307="",1,IF(F307&gt;0,(F307/100)+1,(100/((-1)*F307))+1)))*(IF(G307="",1,IF(G307&gt;0,(G307/100)+1,(100/((-1)*G307))+1)))*(IF(H307="",1,IF(H307&gt;0,(H307/100)+1,(100/((-1)*H307))+1)))*(IF(I307="",1,IF(I307&gt;0,(I307/100)+1,(100/((-1)*I307))+1)))*(IF(J307="",1,IF(J307&gt;0,(J307/100)+1,(100/((-1)*J307))+1)))*(IF(K307="",1,IF(K307&gt;0,(K307/100)+1,(100/((-1)*K307))+1)))*(IF(L307="",1,IF(L307&gt;0,(L307/100)+1,(100/((-1)*L307))+1))))-1)*(100))))))*10),(((IF(((IF(C307="",1,IF(C307&gt;0,(C307/100)+1,(100/((-1)*C307))+1)))*(IF(D307="",1,IF(D307&gt;0,(D307/100)+1,(100/((-1)*D307))+1)))*(IF(E307="",1,IF(E307&gt;0,(E307/100)+1,(100/((-1)*E307))+1)))*(IF(F307="",1,IF(F307&gt;0,(F307/100)+1,(100/((-1)*F307))+1)))*(IF(G307="",1,IF(G307&gt;0,(G307/100)+1,(100/((-1)*G307))+1)))*(IF(H307="",1,IF(H307&gt;0,(H307/100)+1,(100/((-1)*H307))+1)))*(IF(I307="",1,IF(I307&gt;0,(I307/100)+1,(100/((-1)*I307))+1)))*(IF(J307="",1,IF(J307&gt;0,(J307/100)+1,(100/((-1)*J307))+1)))*(IF(K307="",1,IF(K307&gt;0,(K307/100)+1,(100/((-1)*K307))+1)))*(IF(L307="",1,IF(L307&gt;0,(L307/100)+1,(100/((-1)*L307))+1))))&lt;2,((-100)/(((IF(C307="",1,IF(C307&gt;0,(C307/100)+1,(100/((-1)*C307))+1)))*(IF(D307="",1,IF(D307&gt;0,(D307/100)+1,(100/((-1)*D307))+1)))*(IF(E307="",1,IF(E307&gt;0,(E307/100)+1,(100/((-1)*E307))+1)))*(IF(F307="",1,IF(F307&gt;0,(F307/100)+1,(100/((-1)*F307))+1)))*(IF(G307="",1,IF(G307&gt;0,(G307/100)+1,(100/((-1)*G307))+1)))*(IF(H307="",1,IF(H307&gt;0,(H307/100)+1,(100/((-1)*H307))+1)))*(IF(I307="",1,IF(I307&gt;0,(I307/100)+1,(100/((-1)*I307))+1)))*(IF(J307="",1,IF(J307&gt;0,(J307/100)+1,(100/((-1)*J307))+1)))*(IF(K307="",1,IF(K307&gt;0,(K307/100)+1,(100/((-1)*K307))+1)))*(IF(L307="",1,IF(L307&gt;0,(L307/100)+1,(100/((-1)*L307))+1))))-1)),((((IF(C307="",1,IF(C307&gt;0,(C307/100)+1,(100/((-1)*C307))+1)))*(IF(D307="",1,IF(D307&gt;0,(D307/100)+1,(100/((-1)*D307))+1)))*(IF(E307="",1,IF(E307&gt;0,(E307/100)+1,(100/((-1)*E307))+1)))*(IF(F307="",1,IF(F307&gt;0,(F307/100)+1,(100/((-1)*F307))+1)))*(IF(G307="",1,IF(G307&gt;0,(G307/100)+1,(100/((-1)*G307))+1)))*(IF(H307="",1,IF(H307&gt;0,(H307/100)+1,(100/((-1)*H307))+1)))*(IF(I307="",1,IF(I307&gt;0,(I307/100)+1,(100/((-1)*I307))+1)))*(IF(J307="",1,IF(J307&gt;0,(J307/100)+1,(100/((-1)*J307))+1)))*(IF(K307="",1,IF(K307&gt;0,(K307/100)+1,(100/((-1)*K307))+1)))*(IF(L307="",1,IF(L307&gt;0,(L307/100)+1,(100/((-1)*L307))+1))))-1)*(100))))/100)*10)))</f>
        <v>4098.790383</v>
      </c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 ht="16.5" customHeight="1">
      <c r="A308" s="3" t="s">
        <v>37</v>
      </c>
      <c r="B308" s="2"/>
      <c r="C308" s="18" t="str">
        <f>'2025'!C161</f>
        <v>Broncos @ Commanders</v>
      </c>
      <c r="D308" s="18" t="str">
        <f>'2025'!D161</f>
        <v>Chiefs @ Cowboys</v>
      </c>
      <c r="E308" s="18" t="str">
        <f>'2025'!E161</f>
        <v>Giants @ Patriots</v>
      </c>
      <c r="F308" s="18" t="str">
        <f>'2025'!F161</f>
        <v>Vikings @ Seahawks</v>
      </c>
      <c r="G308" s="18" t="str">
        <f>'2025'!G161</f>
        <v>Bears @ Eagles</v>
      </c>
      <c r="H308" s="18" t="str">
        <f>'2025'!H161</f>
        <v>49ers @ Browns</v>
      </c>
      <c r="I308" s="18" t="str">
        <f>'2025'!I161</f>
        <v>Raiders @ Chargers</v>
      </c>
      <c r="J308" s="18" t="str">
        <f>'2025'!J161</f>
        <v>Jaguars @ Titans</v>
      </c>
      <c r="K308" s="18" t="str">
        <f>'2025'!K161</f>
        <v>Falcons @ Jets</v>
      </c>
      <c r="L308" s="18" t="str">
        <f>'2025'!L161</f>
        <v>Packers @ Lions</v>
      </c>
      <c r="M308" s="2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 ht="16.5" customHeight="1">
      <c r="A309" s="3" t="s">
        <v>48</v>
      </c>
      <c r="B309" s="2"/>
      <c r="C309" s="18" t="str">
        <f>'2025'!C162</f>
        <v>27-26</v>
      </c>
      <c r="D309" s="18" t="str">
        <f>'2025'!D162</f>
        <v>28-31</v>
      </c>
      <c r="E309" s="18" t="str">
        <f>'2025'!E162</f>
        <v>15-33</v>
      </c>
      <c r="F309" s="18" t="str">
        <f>'2025'!F162</f>
        <v>0-26</v>
      </c>
      <c r="G309" s="18" t="str">
        <f>'2025'!G162</f>
        <v>5 Touchdowns</v>
      </c>
      <c r="H309" s="18" t="str">
        <f>'2025'!H162</f>
        <v>26-8</v>
      </c>
      <c r="I309" s="18" t="str">
        <f>'2025'!I162</f>
        <v>14-31</v>
      </c>
      <c r="J309" s="18" t="str">
        <f>'2025'!J162</f>
        <v>0 TDs &amp; Jags Win</v>
      </c>
      <c r="K309" s="18" t="str">
        <f>'2025'!K162</f>
        <v>172 Passing Yards</v>
      </c>
      <c r="L309" s="18" t="str">
        <f>'2025'!L162</f>
        <v>7 Touchdowns</v>
      </c>
      <c r="M309" s="2"/>
      <c r="N309" s="4"/>
      <c r="O309" s="3" t="s">
        <v>56</v>
      </c>
      <c r="P309" s="3" t="s">
        <v>57</v>
      </c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 ht="16.5" customHeight="1">
      <c r="A310" s="3" t="s">
        <v>59</v>
      </c>
      <c r="B310" s="2"/>
      <c r="C310" s="18" t="str">
        <f>'2025'!C163</f>
        <v>L</v>
      </c>
      <c r="D310" s="18" t="str">
        <f>'2025'!D163</f>
        <v>L</v>
      </c>
      <c r="E310" s="18" t="str">
        <f>'2025'!E163</f>
        <v>W</v>
      </c>
      <c r="F310" s="18" t="str">
        <f>'2025'!F163</f>
        <v>W</v>
      </c>
      <c r="G310" s="18" t="str">
        <f>'2025'!G163</f>
        <v>W</v>
      </c>
      <c r="H310" s="18" t="str">
        <f>'2025'!H163</f>
        <v>L</v>
      </c>
      <c r="I310" s="18" t="str">
        <f>'2025'!I163</f>
        <v>W</v>
      </c>
      <c r="J310" s="18" t="str">
        <f>'2025'!J163</f>
        <v>L</v>
      </c>
      <c r="K310" s="18" t="str">
        <f>'2025'!K163</f>
        <v>L</v>
      </c>
      <c r="L310" s="18" t="str">
        <f>'2025'!L163</f>
        <v>W</v>
      </c>
      <c r="M310" s="2"/>
      <c r="N310" s="3" t="s">
        <v>65</v>
      </c>
      <c r="O310" s="12" t="str">
        <f>IFERROR(__xludf.DUMMYFUNCTION("IF(OR(COUNTA(C307:L307) = 0, COUNTA(C310:L310) = 0), """", IFERROR(TEXTJOIN("", "", TRUE, FILTER(C304:L304, (C310:L310 = ""W"") * (C307:L307 = MAX(FILTER(C307:L307, C310:L310 = ""W""))))), """"))"),"Nick")</f>
        <v>Nick</v>
      </c>
      <c r="P310" s="12" t="str">
        <f>IFERROR(__xludf.DUMMYFUNCTION("IF(COUNTA(C315:L315) = 0, """", IFERROR(TEXTJOIN("", "", TRUE, FILTER(C304:L304, C315:L315 = MAX(C315:L315))), """"))"),"Carson")</f>
        <v>Carson</v>
      </c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 ht="16.5" customHeight="1">
      <c r="A311" s="1" t="s">
        <v>81</v>
      </c>
      <c r="B311" s="2"/>
      <c r="C311" s="4">
        <f t="shared" ref="C311:L311" si="93">IF(OR(C307="",C310=""),"",C298+COUNTIF(C310,"W"))</f>
        <v>15</v>
      </c>
      <c r="D311" s="4">
        <f t="shared" si="93"/>
        <v>17</v>
      </c>
      <c r="E311" s="4">
        <f t="shared" si="93"/>
        <v>13</v>
      </c>
      <c r="F311" s="4">
        <f t="shared" si="93"/>
        <v>13</v>
      </c>
      <c r="G311" s="4">
        <f t="shared" si="93"/>
        <v>14</v>
      </c>
      <c r="H311" s="4">
        <f t="shared" si="93"/>
        <v>12</v>
      </c>
      <c r="I311" s="4">
        <f t="shared" si="93"/>
        <v>11</v>
      </c>
      <c r="J311" s="4">
        <f t="shared" si="93"/>
        <v>12</v>
      </c>
      <c r="K311" s="4">
        <f t="shared" si="93"/>
        <v>11</v>
      </c>
      <c r="L311" s="4">
        <f t="shared" si="93"/>
        <v>14</v>
      </c>
      <c r="M311" s="2"/>
      <c r="N311" s="3" t="s">
        <v>82</v>
      </c>
      <c r="O311" s="4" t="str">
        <f>IFERROR(__xludf.DUMMYFUNCTION("IF(OR(COUNTA(C307:L307) = 0, COUNTA(C310:L310) = 0), """", IFERROR(TEXTJOIN("", "", TRUE, FILTER(C304:L304, (C310:L310 = ""L"") * (C307:L307 = MIN(FILTER(C307:L307, C310:L310 = ""L""))))), """"))"),"Jake")</f>
        <v>Jake</v>
      </c>
      <c r="P311" s="12" t="str">
        <f>IFERROR(__xludf.DUMMYFUNCTION("IF(COUNTA(C315:L315) = 0, """", IFERROR(TEXTJOIN("", "", TRUE, FILTER(C304:L304, C315:L315 = MIN(C315:L315))), """"))"),"Nick")</f>
        <v>Nick</v>
      </c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 ht="16.5" customHeight="1">
      <c r="A312" s="1" t="s">
        <v>83</v>
      </c>
      <c r="B312" s="2"/>
      <c r="C312" s="27">
        <f t="shared" ref="C312:L312" si="94">IF(OR(C307="",C310=""),"",C299+COUNTIF(C310,"L"))</f>
        <v>9</v>
      </c>
      <c r="D312" s="27">
        <f t="shared" si="94"/>
        <v>7</v>
      </c>
      <c r="E312" s="27">
        <f t="shared" si="94"/>
        <v>11</v>
      </c>
      <c r="F312" s="27">
        <f t="shared" si="94"/>
        <v>11</v>
      </c>
      <c r="G312" s="27">
        <f t="shared" si="94"/>
        <v>10</v>
      </c>
      <c r="H312" s="27">
        <f t="shared" si="94"/>
        <v>12</v>
      </c>
      <c r="I312" s="27">
        <f t="shared" si="94"/>
        <v>13</v>
      </c>
      <c r="J312" s="27">
        <f t="shared" si="94"/>
        <v>12</v>
      </c>
      <c r="K312" s="27">
        <f t="shared" si="94"/>
        <v>13</v>
      </c>
      <c r="L312" s="27">
        <f t="shared" si="94"/>
        <v>10</v>
      </c>
      <c r="M312" s="2"/>
      <c r="N312" s="3" t="s">
        <v>84</v>
      </c>
      <c r="O312" s="12" t="str">
        <f>IFERROR(__xludf.DUMMYFUNCTION("IF(COUNTA(C307:L307) = 0, """", IFERROR(TEXTJOIN("", "", TRUE, FILTER(C304:L304, C307:L307 = MAX(C307:L307))), """"))"),"Nick")</f>
        <v>Nick</v>
      </c>
      <c r="P312" s="4" t="str">
        <f>IFERROR(__xludf.DUMMYFUNCTION("IF(COUNTA(C307:L307) = 0, """", IFERROR(TEXTJOIN("", "", TRUE, FILTER(C304:L304, C314:L314 = MAX(C314:L314))), """"))"),"Jake")</f>
        <v>Jake</v>
      </c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 ht="16.5" customHeight="1">
      <c r="A313" s="3" t="s">
        <v>85</v>
      </c>
      <c r="B313" s="2"/>
      <c r="C313" s="24">
        <f t="shared" ref="C313:L313" si="95">IF(OR(C307="",C310=""),"",(C311/(C311+C312)))</f>
        <v>0.625</v>
      </c>
      <c r="D313" s="24">
        <f t="shared" si="95"/>
        <v>0.7083333333</v>
      </c>
      <c r="E313" s="24">
        <f t="shared" si="95"/>
        <v>0.5416666667</v>
      </c>
      <c r="F313" s="24">
        <f t="shared" si="95"/>
        <v>0.5416666667</v>
      </c>
      <c r="G313" s="24">
        <f t="shared" si="95"/>
        <v>0.5833333333</v>
      </c>
      <c r="H313" s="24">
        <f t="shared" si="95"/>
        <v>0.5</v>
      </c>
      <c r="I313" s="24">
        <f t="shared" si="95"/>
        <v>0.4583333333</v>
      </c>
      <c r="J313" s="24">
        <f t="shared" si="95"/>
        <v>0.5</v>
      </c>
      <c r="K313" s="24">
        <f t="shared" si="95"/>
        <v>0.4583333333</v>
      </c>
      <c r="L313" s="24">
        <f t="shared" si="95"/>
        <v>0.5833333333</v>
      </c>
      <c r="M313" s="14"/>
      <c r="N313" s="3" t="s">
        <v>86</v>
      </c>
      <c r="O313" s="4" t="str">
        <f>IFERROR(__xludf.DUMMYFUNCTION("IF(COUNTA(C307:L307) = 0, """", IFERROR(TEXTJOIN("", "", TRUE, FILTER(C304:L304, C307:L307 = MIN(C307:L307))), """"))"),"Clayton")</f>
        <v>Clayton</v>
      </c>
      <c r="P313" s="4" t="str">
        <f>IFERROR(__xludf.DUMMYFUNCTION("IF(COUNTA(C307:L307) = 0, """", IFERROR(TEXTJOIN("", "", TRUE, FILTER(C304:L304, C314:L314 = MIN(C314:L314))), """"))"),"Carson")</f>
        <v>Carson</v>
      </c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 ht="16.5" customHeight="1">
      <c r="A314" s="3" t="s">
        <v>87</v>
      </c>
      <c r="B314" s="2"/>
      <c r="C314" s="25">
        <f t="shared" ref="C314:L314" si="96">IF(C307="","",IF(((IF(C307 &lt;0,((-100/C307)+1),((C307/100)+1))+(IF(C301&lt;0,((-100/C301)+1),((C301/100)+1)))*(C298+C299))/(C298+C299+1))&lt;2,(-100/(((IF(C307 &lt;0,((-100/C307)+1),((C307/100)+1))+(IF(C301&lt;0,((-100/C301)+1),((C301/100)+1)))*(C298+C299))/(C298+C299+1))-1)),(((IF(C307 &lt;0,((-100/C307)+1),((C307/100)+1))+(IF(C301&lt;0,((-100/C301)+1),((C301/100)+1)))*(C298+C299))/(C298+C299+1))-1)*100))</f>
        <v>-119.9316901</v>
      </c>
      <c r="D314" s="25">
        <f t="shared" si="96"/>
        <v>-132.5786145</v>
      </c>
      <c r="E314" s="25">
        <f t="shared" si="96"/>
        <v>-123.1909457</v>
      </c>
      <c r="F314" s="25">
        <f t="shared" si="96"/>
        <v>-121.0978165</v>
      </c>
      <c r="G314" s="25">
        <f t="shared" si="96"/>
        <v>-102.1804498</v>
      </c>
      <c r="H314" s="25">
        <f t="shared" si="96"/>
        <v>-100.1400774</v>
      </c>
      <c r="I314" s="25">
        <f t="shared" si="96"/>
        <v>-118.8576381</v>
      </c>
      <c r="J314" s="25">
        <f t="shared" si="96"/>
        <v>-124.1535727</v>
      </c>
      <c r="K314" s="25">
        <f t="shared" si="96"/>
        <v>-119.9496321</v>
      </c>
      <c r="L314" s="25">
        <f t="shared" si="96"/>
        <v>-110.1222682</v>
      </c>
      <c r="M314" s="14"/>
      <c r="N314" s="4"/>
      <c r="O314" s="12"/>
      <c r="P314" s="12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 ht="16.5" customHeight="1">
      <c r="A315" s="16" t="s">
        <v>88</v>
      </c>
      <c r="B315" s="2"/>
      <c r="C315" s="26">
        <f>IFERROR(__xludf.DUMMYFUNCTION("IF(OR(C307="""",C310=""""),"""",IF(REGEXMATCH(C310,""W""),IF(C307&lt;0,((-100/C307))*10+C302,((C307/100)*10+C302)),-10+C302))"),29.96958730685114)</f>
        <v>29.96958731</v>
      </c>
      <c r="D315" s="26">
        <f>IFERROR(__xludf.DUMMYFUNCTION("IF(OR(D307="""",D310=""""),"""",IF(REGEXMATCH(D310,""W""),IF(D307&lt;0,((-100/D307))*10+D302,((D307/100)*10+D302)),-10+D302))"),53.88045097336281)</f>
        <v>53.88045097</v>
      </c>
      <c r="E315" s="26">
        <f>IFERROR(__xludf.DUMMYFUNCTION("IF(OR(E307="""",E310=""""),"""",IF(REGEXMATCH(E310,""W""),IF(E307&lt;0,((-100/E307))*10+E302,((E307/100)*10+E302)),-10+E302))"),-6.29181993812294)</f>
        <v>-6.291819938</v>
      </c>
      <c r="F315" s="26">
        <f>IFERROR(__xludf.DUMMYFUNCTION("IF(OR(F307="""",F310=""""),"""",IF(REGEXMATCH(F310,""W""),IF(F307&lt;0,((-100/F307))*10+F302,((F307/100)*10+F302)),-10+F302))"),-5.862854350186677)</f>
        <v>-5.86285435</v>
      </c>
      <c r="G315" s="26">
        <f>IFERROR(__xludf.DUMMYFUNCTION("IF(OR(G307="""",G310=""""),"""",IF(REGEXMATCH(G310,""W""),IF(G307&lt;0,((-100/G307))*10+G302,((G307/100)*10+G302)),-10+G302))"),17.945774134660542)</f>
        <v>17.94577413</v>
      </c>
      <c r="H315" s="26">
        <f>IFERROR(__xludf.DUMMYFUNCTION("IF(OR(H307="""",H310=""""),"""",IF(REGEXMATCH(H310,""W""),IF(H307&lt;0,((-100/H307))*10+H302,((H307/100)*10+H302)),-10+H302))"),-3.9547159683778865)</f>
        <v>-3.954715968</v>
      </c>
      <c r="I315" s="26">
        <f>IFERROR(__xludf.DUMMYFUNCTION("IF(OR(I307="""",I310=""""),"""",IF(REGEXMATCH(I310,""W""),IF(I307&lt;0,((-100/I307))*10+I302,((I307/100)*10+I302)),-10+I302))"),-44.83369436093271)</f>
        <v>-44.83369436</v>
      </c>
      <c r="J315" s="26">
        <f>IFERROR(__xludf.DUMMYFUNCTION("IF(OR(J307="""",J310=""""),"""",IF(REGEXMATCH(J310,""W""),IF(J307&lt;0,((-100/J307))*10+J302,((J307/100)*10+J302)),-10+J302))"),-24.15468124747341)</f>
        <v>-24.15468125</v>
      </c>
      <c r="K315" s="26">
        <f>IFERROR(__xludf.DUMMYFUNCTION("IF(OR(K307="""",K310=""""),"""",IF(REGEXMATCH(K310,""W""),IF(K307&lt;0,((-100/K307))*10+K302,((K307/100)*10+K302)),-10+K302))"),-39.76710807517821)</f>
        <v>-39.76710808</v>
      </c>
      <c r="L315" s="26">
        <f>IFERROR(__xludf.DUMMYFUNCTION("IF(OR(L307="""",L310=""""),"""",IF(REGEXMATCH(L310,""W""),IF(L307&lt;0,((-100/L307))*10+L302,((L307/100)*10+L302)),-10+L302))"),28.437050398799194)</f>
        <v>28.4370504</v>
      </c>
      <c r="M315" s="14"/>
      <c r="N315" s="16" t="s">
        <v>89</v>
      </c>
      <c r="O315" s="10">
        <f>IFERROR(__xludf.DUMMYFUNCTION("IF(AND(C315="""",AND(D315="""",AND(E315="""",AND(F315="""",AND(G315="""",AND(H315="""",AND(I315="""",AND(J315="""",AND(K315="""",L315=""""))))))))),"""",(IF(C310="""",0,IF(REGEXMATCH(C310,""W""),IF(C307&lt;0,((-100/C307))*10,((C307/100)*10)),-10))+IF(D310="""&amp;""",0,IF(REGEXMATCH(D310,""W""),IF(D307&lt;0,((-100/D307))*10,((D307/100)*10)),-10))+IF(E310="""",0,IF(REGEXMATCH(E310,""W""),IF(E307&lt;0,((-100/E307))*10,((E307/100)*10)),-10))+IF(F310="""",0,IF(REGEXMATCH(F310,""W""),IF(F307&lt;0,((-100/F307))*10,((F307/100)*10)"&amp;"),-10))+IF(G310="""",0,IF(REGEXMATCH(G310,""W""),IF(G307&lt;0,((-100/G307))*10,((G307/100)*10)),-10))+IF(H310="""",0,IF(REGEXMATCH(H310,""W""),IF(H307&lt;0,((-100/H307))*10,((H307/100)*10)),-10))+IF(I310="""",0,IF(REGEXMATCH(I310,""W""),IF(I307&lt;0,((-100/I307))*"&amp;"10,((I307/100)*10)),-10))+IF(J310="""",0,IF(REGEXMATCH(J310,""W""),IF(J307&lt;0,((-100/J307))*10,((J307/100)*10)),-10))+IF(K310="""",0,IF(REGEXMATCH(K310,""W""),IF(K307&lt;0,((-100/K307))*10,((K307/100)*10)),-10))+IF(L310="""",0,IF(REGEXMATCH(L310,""W""),IF(L30"&amp;"7&lt;0,((-100/L307))*10,((L307/100)*10)),-10))))"),-7.604813125728585)</f>
        <v>-7.604813126</v>
      </c>
      <c r="P315" s="10">
        <f>IFERROR(__xludf.DUMMYFUNCTION("IF(AND(C315="""",AND(D315="""",AND(E315="""",AND(F315="""",AND(G315="""",AND(H315="""",AND(I315="""",AND(J315="""",AND(K315="""",L315=""""))))))))),"""",(P302+IF(C310="""",0,IF(REGEXMATCH(C310,""W""),IF(C307&lt;0,((-100/C307))*10,((C307/100)*10)),-10))+IF(D3"&amp;"10="""",0,IF(REGEXMATCH(D310,""W""),IF(D307&lt;0,((-100/D307))*10,((D307/100)*10)),-10))+IF(E310="""",0,IF(REGEXMATCH(E310,""W""),IF(E307&lt;0,((-100/E307))*10,((E307/100)*10)),-10))+IF(F310="""",0,IF(REGEXMATCH(F310,""W""),IF(F307&lt;0,((-100/F307))*10,((F307/100"&amp;")*10)),-10))+IF(G310="""",0,IF(REGEXMATCH(G310,""W""),IF(G307&lt;0,((-100/G307))*10,((G307/100)*10)),-10))+IF(H310="""",0,IF(REGEXMATCH(H310,""W""),IF(H307&lt;0,((-100/H307))*10,((H307/100)*10)),-10))+IF(I310="""",0,IF(REGEXMATCH(I310,""W""),IF(I307&lt;0,((-100/I3"&amp;"07))*10,((I307/100)*10)),-10))+IF(J310="""",0,IF(REGEXMATCH(J310,""W""),IF(J307&lt;0,((-100/J307))*10,((J307/100)*10)),-10))+IF(K310="""",0,IF(REGEXMATCH(K310,""W""),IF(K307&lt;0,((-100/K307))*10,((K307/100)*10)),-10))+IF(L310="""",0,IF(REGEXMATCH(L310,""W""),I"&amp;"F(L307&lt;0,((-100/L307))*10,((L307/100)*10)),-10))))"),5.367988873401762)</f>
        <v>5.367988873</v>
      </c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 ht="16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 ht="16.5" customHeight="1">
      <c r="A317" s="1" t="s">
        <v>449</v>
      </c>
      <c r="B317" s="2"/>
      <c r="C317" s="3" t="s">
        <v>1</v>
      </c>
      <c r="D317" s="3" t="s">
        <v>2</v>
      </c>
      <c r="E317" s="3" t="s">
        <v>3</v>
      </c>
      <c r="F317" s="3" t="s">
        <v>4</v>
      </c>
      <c r="G317" s="3" t="s">
        <v>5</v>
      </c>
      <c r="H317" s="3" t="s">
        <v>6</v>
      </c>
      <c r="I317" s="3" t="s">
        <v>7</v>
      </c>
      <c r="J317" s="3" t="s">
        <v>8</v>
      </c>
      <c r="K317" s="3" t="s">
        <v>9</v>
      </c>
      <c r="L317" s="3" t="s">
        <v>10</v>
      </c>
      <c r="M317" s="2"/>
      <c r="N317" s="4"/>
      <c r="O317" s="3" t="s">
        <v>11</v>
      </c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 ht="16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 ht="16.5" customHeight="1">
      <c r="A319" s="3" t="s">
        <v>12</v>
      </c>
      <c r="B319" s="2"/>
      <c r="C319" s="12" t="str">
        <f>'2025'!C172</f>
        <v>B. Irving Any TD &amp; Buccaneers Win</v>
      </c>
      <c r="D319" s="12" t="str">
        <f>'2025'!D172</f>
        <v>Colts Moneyline</v>
      </c>
      <c r="E319" s="12" t="str">
        <f>'2025'!E172</f>
        <v>D. Adams Any TD &amp; Rams Win</v>
      </c>
      <c r="F319" s="12" t="str">
        <f>'2025'!F172</f>
        <v>B. Nix Over 1.5 TD Passes</v>
      </c>
      <c r="G319" s="12" t="str">
        <f>'2025'!G172</f>
        <v>Bills First to 10 Points</v>
      </c>
      <c r="H319" s="12" t="str">
        <f>'2025'!H172</f>
        <v>Commanders Moneyline</v>
      </c>
      <c r="I319" s="12" t="str">
        <f>'2025'!I172</f>
        <v>Over 41.5</v>
      </c>
      <c r="J319" s="12" t="str">
        <f>'2025'!J172</f>
        <v>Browns -2.5</v>
      </c>
      <c r="K319" s="12" t="str">
        <f>'2025'!K172</f>
        <v>Under 44.5</v>
      </c>
      <c r="L319" s="12" t="str">
        <f>'2025'!L172</f>
        <v>J. Myers Over 2.5 Extra Points</v>
      </c>
      <c r="M319" s="2"/>
      <c r="N319" s="3" t="s">
        <v>13</v>
      </c>
      <c r="O319" s="7">
        <f>IF(AND(C320="",AND(D320="",AND(E320="",AND(F320="",AND(G320="",AND(H320="",AND(I320="",AND(J320="",AND(K320="",L320=""))))))))),"",IF(((IF(C320="",1,IF(C320&gt;0,(C320/100)+1,(100/((-1)*C320))+1)))*(IF(D320="",1,IF(D320&gt;0,(D320/100)+1,(100/((-1)*D320))+1)))*(IF(E320="",1,IF(E320&gt;0,(E320/100)+1,(100/((-1)*E320))+1)))*(IF(F320="",1,IF(F320&gt;0,(F320/100)+1,(100/((-1)*F320))+1)))*(IF(G320="",1,IF(G320&gt;0,(G320/100)+1,(100/((-1)*G320))+1)))*(IF(H320="",1,IF(H320&gt;0,(H320/100)+1,(100/((-1)*H320))+1)))*(IF(I320="",1,IF(I320&gt;0,(I320/100)+1,(100/((-1)*I320))+1)))*(IF(J320="",1,IF(J320&gt;0,(J320/100)+1,(100/((-1)*J320))+1)))*(IF(K320="",1,IF(K320&gt;0,(K320/100)+1,(100/((-1)*K320))+1)))*(IF(L320="",1,IF(L320&gt;0,(L320/100)+1,(100/((-1)*L320))+1))))&lt;2,((-100)/(((IF(C320="",1,IF(C320&gt;0,(C320/100)+1,(100/((-1)*C320))+1)))*(IF(D320="",1,IF(D320&gt;0,(D320/100)+1,(100/((-1)*D320))+1)))*(IF(E320="",1,IF(E320&gt;0,(E320/100)+1,(100/((-1)*E320))+1)))*(IF(F320="",1,IF(F320&gt;0,(F320/100)+1,(100/((-1)*F320))+1)))*(IF(G320="",1,IF(G320&gt;0,(G320/100)+1,(100/((-1)*G320))+1)))*(IF(H320="",1,IF(H320&gt;0,(H320/100)+1,(100/((-1)*H320))+1)))*(IF(I320="",1,IF(I320&gt;0,(I320/100)+1,(100/((-1)*I320))+1)))*(IF(J320="",1,IF(J320&gt;0,(J320/100)+1,(100/((-1)*J320))+1)))*(IF(K320="",1,IF(K320&gt;0,(K320/100)+1,(100/((-1)*K320))+1)))*(IF(L320="",1,IF(L320&gt;0,(L320/100)+1,(100/((-1)*L320))+1))))-1)),((((IF(C320="",1,IF(C320&gt;0,(C320/100)+1,(100/((-1)*C320))+1)))*(IF(D320="",1,IF(D320&gt;0,(D320/100)+1,(100/((-1)*D320))+1)))*(IF(E320="",1,IF(E320&gt;0,(E320/100)+1,(100/((-1)*E320))+1)))*(IF(F320="",1,IF(F320&gt;0,(F320/100)+1,(100/((-1)*F320))+1)))*(IF(G320="",1,IF(G320&gt;0,(G320/100)+1,(100/((-1)*G320))+1)))*(IF(H320="",1,IF(H320&gt;0,(H320/100)+1,(100/((-1)*H320))+1)))*(IF(I320="",1,IF(I320&gt;0,(I320/100)+1,(100/((-1)*I320))+1)))*(IF(J320="",1,IF(J320&gt;0,(J320/100)+1,(100/((-1)*J320))+1)))*(IF(K320="",1,IF(K320&gt;0,(K320/100)+1,(100/((-1)*K320))+1)))*(IF(L320="",1,IF(L320&gt;0,(L320/100)+1,(100/((-1)*L320))+1))))-1)*(100))))</f>
        <v>30833.55432</v>
      </c>
      <c r="P319" s="4"/>
      <c r="Q319" s="8" t="s">
        <v>35</v>
      </c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 ht="16.5" customHeight="1">
      <c r="A320" s="3" t="s">
        <v>13</v>
      </c>
      <c r="B320" s="2"/>
      <c r="C320" s="18">
        <f>'2025'!C173</f>
        <v>-109</v>
      </c>
      <c r="D320" s="18">
        <f>'2025'!D173</f>
        <v>-130</v>
      </c>
      <c r="E320" s="18">
        <f>'2025'!E173</f>
        <v>-112</v>
      </c>
      <c r="F320" s="18">
        <f>'2025'!F173</f>
        <v>100</v>
      </c>
      <c r="G320" s="18">
        <f>'2025'!G173</f>
        <v>-175</v>
      </c>
      <c r="H320" s="18">
        <f>'2025'!H173</f>
        <v>-125</v>
      </c>
      <c r="I320" s="18">
        <f>'2025'!I173</f>
        <v>-152</v>
      </c>
      <c r="J320" s="18">
        <f>'2025'!J173</f>
        <v>-175</v>
      </c>
      <c r="K320" s="18">
        <f>'2025'!K173</f>
        <v>-130</v>
      </c>
      <c r="L320" s="18">
        <f>'2025'!L173</f>
        <v>-118</v>
      </c>
      <c r="M320" s="2">
        <v>14.0</v>
      </c>
      <c r="N320" s="3" t="s">
        <v>36</v>
      </c>
      <c r="O320" s="10">
        <f>IF(AND(C320="",AND(D320="",AND(E320="",AND(F320="",AND(G320="",AND(H320="",AND(I320="",AND(J320="",AND(K320="",L320=""))))))))),"",10+IF((IF(((IF(C320="",1,IF(C320&gt;0,(C320/100)+1,(100/((-1)*C320))+1)))*(IF(D320="",1,IF(D320&gt;0,(D320/100)+1,(100/((-1)*D320))+1)))*(IF(E320="",1,IF(E320&gt;0,(E320/100)+1,(100/((-1)*E320))+1)))*(IF(F320="",1,IF(F320&gt;0,(F320/100)+1,(100/((-1)*F320))+1)))*(IF(G320="",1,IF(G320&gt;0,(G320/100)+1,(100/((-1)*G320))+1)))*(IF(H320="",1,IF(H320&gt;0,(H320/100)+1,(100/((-1)*H320))+1)))*(IF(I320="",1,IF(I320&gt;0,(I320/100)+1,(100/((-1)*I320))+1)))*(IF(J320="",1,IF(J320&gt;0,(J320/100)+1,(100/((-1)*J320))+1)))*(IF(K320="",1,IF(K320&gt;0,(K320/100)+1,(100/((-1)*K320))+1)))*(IF(L320="",1,IF(L320&gt;0,(L320/100)+1,(100/((-1)*L320))+1))))&lt;2,((-100)/(((IF(C320="",1,IF(C320&gt;0,(C320/100)+1,(100/((-1)*C320))+1)))*(IF(D320="",1,IF(D320&gt;0,(D320/100)+1,(100/((-1)*D320))+1)))*(IF(E320="",1,IF(E320&gt;0,(E320/100)+1,(100/((-1)*E320))+1)))*(IF(F320="",1,IF(F320&gt;0,(F320/100)+1,(100/((-1)*F320))+1)))*(IF(G320="",1,IF(G320&gt;0,(G320/100)+1,(100/((-1)*G320))+1)))*(IF(H320="",1,IF(H320&gt;0,(H320/100)+1,(100/((-1)*H320))+1)))*(IF(I320="",1,IF(I320&gt;0,(I320/100)+1,(100/((-1)*I320))+1)))*(IF(J320="",1,IF(J320&gt;0,(J320/100)+1,(100/((-1)*J320))+1)))*(IF(K320="",1,IF(K320&gt;0,(K320/100)+1,(100/((-1)*K320))+1)))*(IF(L320="",1,IF(L320&gt;0,(L320/100)+1,(100/((-1)*L320))+1))))-1)),((((IF(C320="",1,IF(C320&gt;0,(C320/100)+1,(100/((-1)*C320))+1)))*(IF(D320="",1,IF(D320&gt;0,(D320/100)+1,(100/((-1)*D320))+1)))*(IF(E320="",1,IF(E320&gt;0,(E320/100)+1,(100/((-1)*E320))+1)))*(IF(F320="",1,IF(F320&gt;0,(F320/100)+1,(100/((-1)*F320))+1)))*(IF(G320="",1,IF(G320&gt;0,(G320/100)+1,(100/((-1)*G320))+1)))*(IF(H320="",1,IF(H320&gt;0,(H320/100)+1,(100/((-1)*H320))+1)))*(IF(I320="",1,IF(I320&gt;0,(I320/100)+1,(100/((-1)*I320))+1)))*(IF(J320="",1,IF(J320&gt;0,(J320/100)+1,(100/((-1)*J320))+1)))*(IF(K320="",1,IF(K320&gt;0,(K320/100)+1,(100/((-1)*K320))+1)))*(IF(L320="",1,IF(L320&gt;0,(L320/100)+1,(100/((-1)*L320))+1))))-1)*(100))))&lt;0,(((-100)/((IF(((IF(C320="",1,IF(C320&gt;0,(C320/100)+1,(100/((-1)*C320))+1)))*(IF(D320="",1,IF(D320&gt;0,(D320/100)+1,(100/((-1)*D320))+1)))*(IF(E320="",1,IF(E320&gt;0,(E320/100)+1,(100/((-1)*E320))+1)))*(IF(F320="",1,IF(F320&gt;0,(F320/100)+1,(100/((-1)*F320))+1)))*(IF(G320="",1,IF(G320&gt;0,(G320/100)+1,(100/((-1)*G320))+1)))*(IF(H320="",1,IF(H320&gt;0,(H320/100)+1,(100/((-1)*H320))+1)))*(IF(I320="",1,IF(I320&gt;0,(I320/100)+1,(100/((-1)*I320))+1)))*(IF(J320="",1,IF(J320&gt;0,(J320/100)+1,(100/((-1)*J320))+1)))*(IF(K320="",1,IF(K320&gt;0,(K320/100)+1,(100/((-1)*K320))+1)))*(IF(L320="",1,IF(L320&gt;0,(L320/100)+1,(100/((-1)*L320))+1))))&lt;2,((-100)/(((IF(C320="",1,IF(C320&gt;0,(C320/100)+1,(100/((-1)*C320))+1)))*(IF(D320="",1,IF(D320&gt;0,(D320/100)+1,(100/((-1)*D320))+1)))*(IF(E320="",1,IF(E320&gt;0,(E320/100)+1,(100/((-1)*E320))+1)))*(IF(F320="",1,IF(F320&gt;0,(F320/100)+1,(100/((-1)*F320))+1)))*(IF(G320="",1,IF(G320&gt;0,(G320/100)+1,(100/((-1)*G320))+1)))*(IF(H320="",1,IF(H320&gt;0,(H320/100)+1,(100/((-1)*H320))+1)))*(IF(I320="",1,IF(I320&gt;0,(I320/100)+1,(100/((-1)*I320))+1)))*(IF(J320="",1,IF(J320&gt;0,(J320/100)+1,(100/((-1)*J320))+1)))*(IF(K320="",1,IF(K320&gt;0,(K320/100)+1,(100/((-1)*K320))+1)))*(IF(L320="",1,IF(L320&gt;0,(L320/100)+1,(100/((-1)*L320))+1))))-1)),((((IF(C320="",1,IF(C320&gt;0,(C320/100)+1,(100/((-1)*C320))+1)))*(IF(D320="",1,IF(D320&gt;0,(D320/100)+1,(100/((-1)*D320))+1)))*(IF(E320="",1,IF(E320&gt;0,(E320/100)+1,(100/((-1)*E320))+1)))*(IF(F320="",1,IF(F320&gt;0,(F320/100)+1,(100/((-1)*F320))+1)))*(IF(G320="",1,IF(G320&gt;0,(G320/100)+1,(100/((-1)*G320))+1)))*(IF(H320="",1,IF(H320&gt;0,(H320/100)+1,(100/((-1)*H320))+1)))*(IF(I320="",1,IF(I320&gt;0,(I320/100)+1,(100/((-1)*I320))+1)))*(IF(J320="",1,IF(J320&gt;0,(J320/100)+1,(100/((-1)*J320))+1)))*(IF(K320="",1,IF(K320&gt;0,(K320/100)+1,(100/((-1)*K320))+1)))*(IF(L320="",1,IF(L320&gt;0,(L320/100)+1,(100/((-1)*L320))+1))))-1)*(100))))))*10),(((IF(((IF(C320="",1,IF(C320&gt;0,(C320/100)+1,(100/((-1)*C320))+1)))*(IF(D320="",1,IF(D320&gt;0,(D320/100)+1,(100/((-1)*D320))+1)))*(IF(E320="",1,IF(E320&gt;0,(E320/100)+1,(100/((-1)*E320))+1)))*(IF(F320="",1,IF(F320&gt;0,(F320/100)+1,(100/((-1)*F320))+1)))*(IF(G320="",1,IF(G320&gt;0,(G320/100)+1,(100/((-1)*G320))+1)))*(IF(H320="",1,IF(H320&gt;0,(H320/100)+1,(100/((-1)*H320))+1)))*(IF(I320="",1,IF(I320&gt;0,(I320/100)+1,(100/((-1)*I320))+1)))*(IF(J320="",1,IF(J320&gt;0,(J320/100)+1,(100/((-1)*J320))+1)))*(IF(K320="",1,IF(K320&gt;0,(K320/100)+1,(100/((-1)*K320))+1)))*(IF(L320="",1,IF(L320&gt;0,(L320/100)+1,(100/((-1)*L320))+1))))&lt;2,((-100)/(((IF(C320="",1,IF(C320&gt;0,(C320/100)+1,(100/((-1)*C320))+1)))*(IF(D320="",1,IF(D320&gt;0,(D320/100)+1,(100/((-1)*D320))+1)))*(IF(E320="",1,IF(E320&gt;0,(E320/100)+1,(100/((-1)*E320))+1)))*(IF(F320="",1,IF(F320&gt;0,(F320/100)+1,(100/((-1)*F320))+1)))*(IF(G320="",1,IF(G320&gt;0,(G320/100)+1,(100/((-1)*G320))+1)))*(IF(H320="",1,IF(H320&gt;0,(H320/100)+1,(100/((-1)*H320))+1)))*(IF(I320="",1,IF(I320&gt;0,(I320/100)+1,(100/((-1)*I320))+1)))*(IF(J320="",1,IF(J320&gt;0,(J320/100)+1,(100/((-1)*J320))+1)))*(IF(K320="",1,IF(K320&gt;0,(K320/100)+1,(100/((-1)*K320))+1)))*(IF(L320="",1,IF(L320&gt;0,(L320/100)+1,(100/((-1)*L320))+1))))-1)),((((IF(C320="",1,IF(C320&gt;0,(C320/100)+1,(100/((-1)*C320))+1)))*(IF(D320="",1,IF(D320&gt;0,(D320/100)+1,(100/((-1)*D320))+1)))*(IF(E320="",1,IF(E320&gt;0,(E320/100)+1,(100/((-1)*E320))+1)))*(IF(F320="",1,IF(F320&gt;0,(F320/100)+1,(100/((-1)*F320))+1)))*(IF(G320="",1,IF(G320&gt;0,(G320/100)+1,(100/((-1)*G320))+1)))*(IF(H320="",1,IF(H320&gt;0,(H320/100)+1,(100/((-1)*H320))+1)))*(IF(I320="",1,IF(I320&gt;0,(I320/100)+1,(100/((-1)*I320))+1)))*(IF(J320="",1,IF(J320&gt;0,(J320/100)+1,(100/((-1)*J320))+1)))*(IF(K320="",1,IF(K320&gt;0,(K320/100)+1,(100/((-1)*K320))+1)))*(IF(L320="",1,IF(L320&gt;0,(L320/100)+1,(100/((-1)*L320))+1))))-1)*(100))))/100)*10)))</f>
        <v>3093.355432</v>
      </c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 ht="16.5" customHeight="1">
      <c r="A321" s="3" t="s">
        <v>37</v>
      </c>
      <c r="B321" s="2"/>
      <c r="C321" s="18" t="str">
        <f>'2025'!C174</f>
        <v>Saints @ Buccaneers</v>
      </c>
      <c r="D321" s="18" t="str">
        <f>'2025'!D174</f>
        <v>Colts @ Jaguars</v>
      </c>
      <c r="E321" s="18" t="str">
        <f>'2025'!E174</f>
        <v>Rams @ Cardinals</v>
      </c>
      <c r="F321" s="18" t="str">
        <f>'2025'!F174</f>
        <v>Broncos @ Raiders</v>
      </c>
      <c r="G321" s="18" t="str">
        <f>'2025'!G174</f>
        <v>Bengals @ Bills</v>
      </c>
      <c r="H321" s="18" t="str">
        <f>'2025'!H174</f>
        <v>Commanders @ Vikings</v>
      </c>
      <c r="I321" s="18" t="str">
        <f>'2025'!I174</f>
        <v>Bears @ Packers</v>
      </c>
      <c r="J321" s="18" t="str">
        <f>'2025'!J174</f>
        <v>Titans @ Browns</v>
      </c>
      <c r="K321" s="18" t="str">
        <f>'2025'!K174</f>
        <v>Steelers @ Ravens</v>
      </c>
      <c r="L321" s="18" t="str">
        <f>'2025'!L174</f>
        <v>Seahawks @ Falcons</v>
      </c>
      <c r="M321" s="2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 ht="16.5" customHeight="1">
      <c r="A322" s="3" t="s">
        <v>48</v>
      </c>
      <c r="B322" s="2"/>
      <c r="C322" s="18" t="str">
        <f>'2025'!C175</f>
        <v>B. Irving 1 TD &amp; Saints Win</v>
      </c>
      <c r="D322" s="18" t="str">
        <f>'2025'!D175</f>
        <v>19-36</v>
      </c>
      <c r="E322" s="18" t="str">
        <f>'2025'!E175</f>
        <v>D. Adams 0 TDs &amp; Rams Win</v>
      </c>
      <c r="F322" s="18" t="str">
        <f>'2025'!F175</f>
        <v>B. Nix 0 TD Passes</v>
      </c>
      <c r="G322" s="18" t="str">
        <f>'2025'!G175</f>
        <v>Bengals First to 10 Points</v>
      </c>
      <c r="H322" s="18" t="str">
        <f>'2025'!H175</f>
        <v>0-31</v>
      </c>
      <c r="I322" s="18" t="str">
        <f>'2025'!I175</f>
        <v>21-28</v>
      </c>
      <c r="J322" s="18" t="str">
        <f>'2025'!J175</f>
        <v>31-29</v>
      </c>
      <c r="K322" s="18" t="str">
        <f>'2025'!K175</f>
        <v>27-22</v>
      </c>
      <c r="L322" s="18" t="str">
        <f>'2025'!L175</f>
        <v>J. Myers 4 Extra Points</v>
      </c>
      <c r="M322" s="2"/>
      <c r="N322" s="4"/>
      <c r="O322" s="3" t="s">
        <v>56</v>
      </c>
      <c r="P322" s="3" t="s">
        <v>57</v>
      </c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 ht="16.5" customHeight="1">
      <c r="A323" s="3" t="s">
        <v>59</v>
      </c>
      <c r="B323" s="2"/>
      <c r="C323" s="18" t="str">
        <f>'2025'!C176</f>
        <v>L</v>
      </c>
      <c r="D323" s="18" t="str">
        <f>'2025'!D176</f>
        <v>L</v>
      </c>
      <c r="E323" s="18" t="str">
        <f>'2025'!E176</f>
        <v>L</v>
      </c>
      <c r="F323" s="18" t="str">
        <f>'2025'!F176</f>
        <v>L</v>
      </c>
      <c r="G323" s="18" t="str">
        <f>'2025'!G176</f>
        <v>L</v>
      </c>
      <c r="H323" s="18" t="str">
        <f>'2025'!H176</f>
        <v>L</v>
      </c>
      <c r="I323" s="18" t="str">
        <f>'2025'!I176</f>
        <v>W</v>
      </c>
      <c r="J323" s="18" t="str">
        <f>'2025'!J176</f>
        <v>L</v>
      </c>
      <c r="K323" s="18" t="str">
        <f>'2025'!K176</f>
        <v>L</v>
      </c>
      <c r="L323" s="18" t="str">
        <f>'2025'!L176</f>
        <v>W</v>
      </c>
      <c r="M323" s="2"/>
      <c r="N323" s="3" t="s">
        <v>65</v>
      </c>
      <c r="O323" s="12" t="str">
        <f>IFERROR(__xludf.DUMMYFUNCTION("IF(OR(COUNTA(C320:L320) = 0, COUNTA(C323:L323) = 0), """", IFERROR(TEXTJOIN("", "", TRUE, FILTER(C317:L317, (C323:L323 = ""W"") * (C320:L320 = MAX(FILTER(C320:L320, C323:L323 = ""W""))))), """"))"),"Trey")</f>
        <v>Trey</v>
      </c>
      <c r="P323" s="12" t="str">
        <f>IFERROR(__xludf.DUMMYFUNCTION("IF(COUNTA(C328:L328) = 0, """", IFERROR(TEXTJOIN("", "", TRUE, FILTER(C317:L317, C328:L328 = MAX(C328:L328))), """"))"),"Carson")</f>
        <v>Carson</v>
      </c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 ht="16.5" customHeight="1">
      <c r="A324" s="1" t="s">
        <v>81</v>
      </c>
      <c r="B324" s="2"/>
      <c r="C324" s="4">
        <f t="shared" ref="C324:L324" si="97">IF(OR(C320="",C323=""),"",C311+COUNTIF(C323,"W"))</f>
        <v>15</v>
      </c>
      <c r="D324" s="4">
        <f t="shared" si="97"/>
        <v>17</v>
      </c>
      <c r="E324" s="4">
        <f t="shared" si="97"/>
        <v>13</v>
      </c>
      <c r="F324" s="4">
        <f t="shared" si="97"/>
        <v>13</v>
      </c>
      <c r="G324" s="4">
        <f t="shared" si="97"/>
        <v>14</v>
      </c>
      <c r="H324" s="4">
        <f t="shared" si="97"/>
        <v>12</v>
      </c>
      <c r="I324" s="4">
        <f t="shared" si="97"/>
        <v>12</v>
      </c>
      <c r="J324" s="4">
        <f t="shared" si="97"/>
        <v>12</v>
      </c>
      <c r="K324" s="4">
        <f t="shared" si="97"/>
        <v>11</v>
      </c>
      <c r="L324" s="4">
        <f t="shared" si="97"/>
        <v>15</v>
      </c>
      <c r="M324" s="2"/>
      <c r="N324" s="3" t="s">
        <v>82</v>
      </c>
      <c r="O324" s="4" t="str">
        <f>IFERROR(__xludf.DUMMYFUNCTION("IF(OR(COUNTA(C320:L320) = 0, COUNTA(C323:L323) = 0), """", IFERROR(TEXTJOIN("", "", TRUE, FILTER(C317:L317, (C323:L323 = ""L"") * (C320:L320 = MIN(FILTER(C320:L320, C323:L323 = ""L""))))), """"))"),"Hunter, Tanner")</f>
        <v>Hunter, Tanner</v>
      </c>
      <c r="P324" s="12" t="str">
        <f>IFERROR(__xludf.DUMMYFUNCTION("IF(COUNTA(C328:L328) = 0, """", IFERROR(TEXTJOIN("", "", TRUE, FILTER(C317:L317, C328:L328 = MIN(C328:L328))), """"))"),"Taylon")</f>
        <v>Taylon</v>
      </c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 ht="16.5" customHeight="1">
      <c r="A325" s="1" t="s">
        <v>83</v>
      </c>
      <c r="B325" s="2"/>
      <c r="C325" s="27">
        <f t="shared" ref="C325:L325" si="98">IF(OR(C320="",C323=""),"",C312+COUNTIF(C323,"L"))</f>
        <v>10</v>
      </c>
      <c r="D325" s="27">
        <f t="shared" si="98"/>
        <v>8</v>
      </c>
      <c r="E325" s="27">
        <f t="shared" si="98"/>
        <v>12</v>
      </c>
      <c r="F325" s="27">
        <f t="shared" si="98"/>
        <v>12</v>
      </c>
      <c r="G325" s="27">
        <f t="shared" si="98"/>
        <v>11</v>
      </c>
      <c r="H325" s="27">
        <f t="shared" si="98"/>
        <v>13</v>
      </c>
      <c r="I325" s="27">
        <f t="shared" si="98"/>
        <v>13</v>
      </c>
      <c r="J325" s="27">
        <f t="shared" si="98"/>
        <v>13</v>
      </c>
      <c r="K325" s="27">
        <f t="shared" si="98"/>
        <v>14</v>
      </c>
      <c r="L325" s="27">
        <f t="shared" si="98"/>
        <v>10</v>
      </c>
      <c r="M325" s="2"/>
      <c r="N325" s="3" t="s">
        <v>84</v>
      </c>
      <c r="O325" s="12" t="str">
        <f>IFERROR(__xludf.DUMMYFUNCTION("IF(COUNTA(C320:L320) = 0, """", IFERROR(TEXTJOIN("", "", TRUE, FILTER(C317:L317, C320:L320 = MAX(C320:L320))), """"))"),"Dan")</f>
        <v>Dan</v>
      </c>
      <c r="P325" s="4" t="str">
        <f>IFERROR(__xludf.DUMMYFUNCTION("IF(COUNTA(C320:L320) = 0, """", IFERROR(TEXTJOIN("", "", TRUE, FILTER(C317:L317, C327:L327 = MAX(C327:L327))), """"))"),"Jake")</f>
        <v>Jake</v>
      </c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 ht="16.5" customHeight="1">
      <c r="A326" s="3" t="s">
        <v>85</v>
      </c>
      <c r="B326" s="2"/>
      <c r="C326" s="24">
        <f t="shared" ref="C326:L326" si="99">IF(OR(C320="",C323=""),"",(C324/(C324+C325)))</f>
        <v>0.6</v>
      </c>
      <c r="D326" s="24">
        <f t="shared" si="99"/>
        <v>0.68</v>
      </c>
      <c r="E326" s="24">
        <f t="shared" si="99"/>
        <v>0.52</v>
      </c>
      <c r="F326" s="24">
        <f t="shared" si="99"/>
        <v>0.52</v>
      </c>
      <c r="G326" s="24">
        <f t="shared" si="99"/>
        <v>0.56</v>
      </c>
      <c r="H326" s="24">
        <f t="shared" si="99"/>
        <v>0.48</v>
      </c>
      <c r="I326" s="24">
        <f t="shared" si="99"/>
        <v>0.48</v>
      </c>
      <c r="J326" s="24">
        <f t="shared" si="99"/>
        <v>0.48</v>
      </c>
      <c r="K326" s="24">
        <f t="shared" si="99"/>
        <v>0.44</v>
      </c>
      <c r="L326" s="24">
        <f t="shared" si="99"/>
        <v>0.6</v>
      </c>
      <c r="M326" s="14"/>
      <c r="N326" s="3" t="s">
        <v>86</v>
      </c>
      <c r="O326" s="4" t="str">
        <f>IFERROR(__xludf.DUMMYFUNCTION("IF(COUNTA(C320:L320) = 0, """", IFERROR(TEXTJOIN("", "", TRUE, FILTER(C317:L317, C320:L320 = MIN(C320:L320))), """"))"),"Hunter, Tanner")</f>
        <v>Hunter, Tanner</v>
      </c>
      <c r="P326" s="4" t="str">
        <f>IFERROR(__xludf.DUMMYFUNCTION("IF(COUNTA(C320:L320) = 0, """", IFERROR(TEXTJOIN("", "", TRUE, FILTER(C317:L317, C327:L327 = MIN(C327:L327))), """"))"),"Carson")</f>
        <v>Carson</v>
      </c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 ht="16.5" customHeight="1">
      <c r="A327" s="3" t="s">
        <v>87</v>
      </c>
      <c r="B327" s="2"/>
      <c r="C327" s="25">
        <f t="shared" ref="C327:L327" si="100">IF(C320="","",IF(((IF(C320 &lt;0,((-100/C320)+1),((C320/100)+1))+(IF(C314&lt;0,((-100/C314)+1),((C314/100)+1)))*(C311+C312))/(C311+C312+1))&lt;2,(-100/(((IF(C320 &lt;0,((-100/C320)+1),((C320/100)+1))+(IF(C314&lt;0,((-100/C314)+1),((C314/100)+1)))*(C311+C312))/(C311+C312+1))-1)),(((IF(C320 &lt;0,((-100/C320)+1),((C320/100)+1))+(IF(C314&lt;0,((-100/C314)+1),((C314/100)+1)))*(C311+C312))/(C311+C312+1))-1)*100))</f>
        <v>-119.4524909</v>
      </c>
      <c r="D327" s="25">
        <f t="shared" si="100"/>
        <v>-132.4735074</v>
      </c>
      <c r="E327" s="25">
        <f t="shared" si="100"/>
        <v>-122.7005403</v>
      </c>
      <c r="F327" s="25">
        <f t="shared" si="100"/>
        <v>-120.0844089</v>
      </c>
      <c r="G327" s="25">
        <f t="shared" si="100"/>
        <v>-103.9099761</v>
      </c>
      <c r="H327" s="25">
        <f t="shared" si="100"/>
        <v>-100.9430974</v>
      </c>
      <c r="I327" s="25">
        <f t="shared" si="100"/>
        <v>-119.9033965</v>
      </c>
      <c r="J327" s="25">
        <f t="shared" si="100"/>
        <v>-125.6134574</v>
      </c>
      <c r="K327" s="25">
        <f t="shared" si="100"/>
        <v>-120.3217175</v>
      </c>
      <c r="L327" s="25">
        <f t="shared" si="100"/>
        <v>-110.4171281</v>
      </c>
      <c r="M327" s="14"/>
      <c r="N327" s="4"/>
      <c r="O327" s="12"/>
      <c r="P327" s="12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 ht="16.5" customHeight="1">
      <c r="A328" s="16" t="s">
        <v>88</v>
      </c>
      <c r="B328" s="2"/>
      <c r="C328" s="26">
        <f>IFERROR(__xludf.DUMMYFUNCTION("IF(OR(C320="""",C323=""""),"""",IF(REGEXMATCH(C323,""W""),IF(C320&lt;0,((-100/C320))*10+C315,((C320/100)*10+C315)),-10+C315))"),19.96958730685114)</f>
        <v>19.96958731</v>
      </c>
      <c r="D328" s="26">
        <f>IFERROR(__xludf.DUMMYFUNCTION("IF(OR(D320="""",D323=""""),"""",IF(REGEXMATCH(D323,""W""),IF(D320&lt;0,((-100/D320))*10+D315,((D320/100)*10+D315)),-10+D315))"),43.88045097336281)</f>
        <v>43.88045097</v>
      </c>
      <c r="E328" s="26">
        <f>IFERROR(__xludf.DUMMYFUNCTION("IF(OR(E320="""",E323=""""),"""",IF(REGEXMATCH(E323,""W""),IF(E320&lt;0,((-100/E320))*10+E315,((E320/100)*10+E315)),-10+E315))"),-16.29181993812294)</f>
        <v>-16.29181994</v>
      </c>
      <c r="F328" s="26">
        <f>IFERROR(__xludf.DUMMYFUNCTION("IF(OR(F320="""",F323=""""),"""",IF(REGEXMATCH(F323,""W""),IF(F320&lt;0,((-100/F320))*10+F315,((F320/100)*10+F315)),-10+F315))"),-15.862854350186677)</f>
        <v>-15.86285435</v>
      </c>
      <c r="G328" s="26">
        <f>IFERROR(__xludf.DUMMYFUNCTION("IF(OR(G320="""",G323=""""),"""",IF(REGEXMATCH(G323,""W""),IF(G320&lt;0,((-100/G320))*10+G315,((G320/100)*10+G315)),-10+G315))"),7.945774134660542)</f>
        <v>7.945774135</v>
      </c>
      <c r="H328" s="26">
        <f>IFERROR(__xludf.DUMMYFUNCTION("IF(OR(H320="""",H323=""""),"""",IF(REGEXMATCH(H323,""W""),IF(H320&lt;0,((-100/H320))*10+H315,((H320/100)*10+H315)),-10+H315))"),-13.954715968377887)</f>
        <v>-13.95471597</v>
      </c>
      <c r="I328" s="26">
        <f>IFERROR(__xludf.DUMMYFUNCTION("IF(OR(I320="""",I323=""""),"""",IF(REGEXMATCH(I323,""W""),IF(I320&lt;0,((-100/I320))*10+I315,((I320/100)*10+I315)),-10+I315))"),-38.254746992511656)</f>
        <v>-38.25474699</v>
      </c>
      <c r="J328" s="26">
        <f>IFERROR(__xludf.DUMMYFUNCTION("IF(OR(J320="""",J323=""""),"""",IF(REGEXMATCH(J323,""W""),IF(J320&lt;0,((-100/J320))*10+J315,((J320/100)*10+J315)),-10+J315))"),-34.154681247473405)</f>
        <v>-34.15468125</v>
      </c>
      <c r="K328" s="26">
        <f>IFERROR(__xludf.DUMMYFUNCTION("IF(OR(K320="""",K323=""""),"""",IF(REGEXMATCH(K323,""W""),IF(K320&lt;0,((-100/K320))*10+K315,((K320/100)*10+K315)),-10+K315))"),-49.76710807517821)</f>
        <v>-49.76710808</v>
      </c>
      <c r="L328" s="26">
        <f>IFERROR(__xludf.DUMMYFUNCTION("IF(OR(L320="""",L323=""""),"""",IF(REGEXMATCH(L323,""W""),IF(L320&lt;0,((-100/L320))*10+L315,((L320/100)*10+L315)),-10+L315))"),36.91162666998564)</f>
        <v>36.91162667</v>
      </c>
      <c r="M328" s="14"/>
      <c r="N328" s="16" t="s">
        <v>89</v>
      </c>
      <c r="O328" s="10">
        <f>IFERROR(__xludf.DUMMYFUNCTION("IF(AND(C328="""",AND(D328="""",AND(E328="""",AND(F328="""",AND(G328="""",AND(H328="""",AND(I328="""",AND(J328="""",AND(K328="""",L328=""""))))))))),"""",(IF(C323="""",0,IF(REGEXMATCH(C323,""W""),IF(C320&lt;0,((-100/C320))*10,((C320/100)*10)),-10))+IF(D323="""&amp;""",0,IF(REGEXMATCH(D323,""W""),IF(D320&lt;0,((-100/D320))*10,((D320/100)*10)),-10))+IF(E323="""",0,IF(REGEXMATCH(E323,""W""),IF(E320&lt;0,((-100/E320))*10,((E320/100)*10)),-10))+IF(F323="""",0,IF(REGEXMATCH(F323,""W""),IF(F320&lt;0,((-100/F320))*10,((F320/100)*10)"&amp;"),-10))+IF(G323="""",0,IF(REGEXMATCH(G323,""W""),IF(G320&lt;0,((-100/G320))*10,((G320/100)*10)),-10))+IF(H323="""",0,IF(REGEXMATCH(H323,""W""),IF(H320&lt;0,((-100/H320))*10,((H320/100)*10)),-10))+IF(I323="""",0,IF(REGEXMATCH(I323,""W""),IF(I320&lt;0,((-100/I320))*"&amp;"10,((I320/100)*10)),-10))+IF(J323="""",0,IF(REGEXMATCH(J323,""W""),IF(J320&lt;0,((-100/J320))*10,((J320/100)*10)),-10))+IF(K323="""",0,IF(REGEXMATCH(K323,""W""),IF(K320&lt;0,((-100/K320))*10,((K320/100)*10)),-10))+IF(L323="""",0,IF(REGEXMATCH(L323,""W""),IF(L32"&amp;"0&lt;0,((-100/L320))*10,((L320/100)*10)),-10))))"),-64.94647636039251)</f>
        <v>-64.94647636</v>
      </c>
      <c r="P328" s="10">
        <f>IFERROR(__xludf.DUMMYFUNCTION("IF(AND(C328="""",AND(D328="""",AND(E328="""",AND(F328="""",AND(G328="""",AND(H328="""",AND(I328="""",AND(J328="""",AND(K328="""",L328=""""))))))))),"""",(P315+IF(C323="""",0,IF(REGEXMATCH(C323,""W""),IF(C320&lt;0,((-100/C320))*10,((C320/100)*10)),-10))+IF(D3"&amp;"23="""",0,IF(REGEXMATCH(D323,""W""),IF(D320&lt;0,((-100/D320))*10,((D320/100)*10)),-10))+IF(E323="""",0,IF(REGEXMATCH(E323,""W""),IF(E320&lt;0,((-100/E320))*10,((E320/100)*10)),-10))+IF(F323="""",0,IF(REGEXMATCH(F323,""W""),IF(F320&lt;0,((-100/F320))*10,((F320/100"&amp;")*10)),-10))+IF(G323="""",0,IF(REGEXMATCH(G323,""W""),IF(G320&lt;0,((-100/G320))*10,((G320/100)*10)),-10))+IF(H323="""",0,IF(REGEXMATCH(H323,""W""),IF(H320&lt;0,((-100/H320))*10,((H320/100)*10)),-10))+IF(I323="""",0,IF(REGEXMATCH(I323,""W""),IF(I320&lt;0,((-100/I3"&amp;"20))*10,((I320/100)*10)),-10))+IF(J323="""",0,IF(REGEXMATCH(J323,""W""),IF(J320&lt;0,((-100/J320))*10,((J320/100)*10)),-10))+IF(K323="""",0,IF(REGEXMATCH(K323,""W""),IF(K320&lt;0,((-100/K320))*10,((K320/100)*10)),-10))+IF(L323="""",0,IF(REGEXMATCH(L323,""W""),I"&amp;"F(L320&lt;0,((-100/L320))*10,((L320/100)*10)),-10))))"),-59.57848748699075)</f>
        <v>-59.57848749</v>
      </c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 ht="16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 ht="16.5" customHeight="1">
      <c r="A330" s="1" t="s">
        <v>556</v>
      </c>
      <c r="B330" s="2"/>
      <c r="C330" s="3" t="s">
        <v>1</v>
      </c>
      <c r="D330" s="3" t="s">
        <v>2</v>
      </c>
      <c r="E330" s="3" t="s">
        <v>3</v>
      </c>
      <c r="F330" s="3" t="s">
        <v>4</v>
      </c>
      <c r="G330" s="3" t="s">
        <v>5</v>
      </c>
      <c r="H330" s="3" t="s">
        <v>6</v>
      </c>
      <c r="I330" s="3" t="s">
        <v>7</v>
      </c>
      <c r="J330" s="3" t="s">
        <v>8</v>
      </c>
      <c r="K330" s="3" t="s">
        <v>9</v>
      </c>
      <c r="L330" s="3" t="s">
        <v>10</v>
      </c>
      <c r="M330" s="2"/>
      <c r="N330" s="4"/>
      <c r="O330" s="3" t="s">
        <v>11</v>
      </c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 ht="16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 ht="16.5" customHeight="1">
      <c r="A332" s="3" t="s">
        <v>12</v>
      </c>
      <c r="B332" s="2"/>
      <c r="C332" s="12" t="str">
        <f>'2025'!C185</f>
        <v>C.J. Stroud 2+ Pass TDs &amp; Texans Win</v>
      </c>
      <c r="D332" s="12" t="str">
        <f>'2025'!D185</f>
        <v>Broncos -3.5</v>
      </c>
      <c r="E332" s="12" t="str">
        <f>'2025'!E185</f>
        <v>Buccaneers Moneyline</v>
      </c>
      <c r="F332" s="12" t="str">
        <f>'2025'!F185</f>
        <v>Bengals -2.5</v>
      </c>
      <c r="G332" s="12" t="str">
        <f>'2025'!G185</f>
        <v>Saints -6.5</v>
      </c>
      <c r="H332" s="12" t="str">
        <f>'2025'!H185</f>
        <v>Lions -6.5</v>
      </c>
      <c r="I332" s="12" t="str">
        <f>'2025'!I185</f>
        <v>Vikings Moneyline</v>
      </c>
      <c r="J332" s="12" t="str">
        <f>'2025'!J185</f>
        <v>Falcons -2.5</v>
      </c>
      <c r="K332" s="12" t="str">
        <f>'2025'!K185</f>
        <v>Titans +3.5</v>
      </c>
      <c r="L332" s="12" t="str">
        <f>'2025'!L185</f>
        <v>Patriots +3.5</v>
      </c>
      <c r="M332" s="2"/>
      <c r="N332" s="3" t="s">
        <v>13</v>
      </c>
      <c r="O332" s="7">
        <f>IF(AND(C333="",AND(D333="",AND(E333="",AND(F333="",AND(G333="",AND(H333="",AND(I333="",AND(J333="",AND(K333="",L333=""))))))))),"",IF(((IF(C333="",1,IF(C333&gt;0,(C333/100)+1,(100/((-1)*C333))+1)))*(IF(D333="",1,IF(D333&gt;0,(D333/100)+1,(100/((-1)*D333))+1)))*(IF(E333="",1,IF(E333&gt;0,(E333/100)+1,(100/((-1)*E333))+1)))*(IF(F333="",1,IF(F333&gt;0,(F333/100)+1,(100/((-1)*F333))+1)))*(IF(G333="",1,IF(G333&gt;0,(G333/100)+1,(100/((-1)*G333))+1)))*(IF(H333="",1,IF(H333&gt;0,(H333/100)+1,(100/((-1)*H333))+1)))*(IF(I333="",1,IF(I333&gt;0,(I333/100)+1,(100/((-1)*I333))+1)))*(IF(J333="",1,IF(J333&gt;0,(J333/100)+1,(100/((-1)*J333))+1)))*(IF(K333="",1,IF(K333&gt;0,(K333/100)+1,(100/((-1)*K333))+1)))*(IF(L333="",1,IF(L333&gt;0,(L333/100)+1,(100/((-1)*L333))+1))))&lt;2,((-100)/(((IF(C333="",1,IF(C333&gt;0,(C333/100)+1,(100/((-1)*C333))+1)))*(IF(D333="",1,IF(D333&gt;0,(D333/100)+1,(100/((-1)*D333))+1)))*(IF(E333="",1,IF(E333&gt;0,(E333/100)+1,(100/((-1)*E333))+1)))*(IF(F333="",1,IF(F333&gt;0,(F333/100)+1,(100/((-1)*F333))+1)))*(IF(G333="",1,IF(G333&gt;0,(G333/100)+1,(100/((-1)*G333))+1)))*(IF(H333="",1,IF(H333&gt;0,(H333/100)+1,(100/((-1)*H333))+1)))*(IF(I333="",1,IF(I333&gt;0,(I333/100)+1,(100/((-1)*I333))+1)))*(IF(J333="",1,IF(J333&gt;0,(J333/100)+1,(100/((-1)*J333))+1)))*(IF(K333="",1,IF(K333&gt;0,(K333/100)+1,(100/((-1)*K333))+1)))*(IF(L333="",1,IF(L333&gt;0,(L333/100)+1,(100/((-1)*L333))+1))))-1)),((((IF(C333="",1,IF(C333&gt;0,(C333/100)+1,(100/((-1)*C333))+1)))*(IF(D333="",1,IF(D333&gt;0,(D333/100)+1,(100/((-1)*D333))+1)))*(IF(E333="",1,IF(E333&gt;0,(E333/100)+1,(100/((-1)*E333))+1)))*(IF(F333="",1,IF(F333&gt;0,(F333/100)+1,(100/((-1)*F333))+1)))*(IF(G333="",1,IF(G333&gt;0,(G333/100)+1,(100/((-1)*G333))+1)))*(IF(H333="",1,IF(H333&gt;0,(H333/100)+1,(100/((-1)*H333))+1)))*(IF(I333="",1,IF(I333&gt;0,(I333/100)+1,(100/((-1)*I333))+1)))*(IF(J333="",1,IF(J333&gt;0,(J333/100)+1,(100/((-1)*J333))+1)))*(IF(K333="",1,IF(K333&gt;0,(K333/100)+1,(100/((-1)*K333))+1)))*(IF(L333="",1,IF(L333&gt;0,(L333/100)+1,(100/((-1)*L333))+1))))-1)*(100))))</f>
        <v>29386.55922</v>
      </c>
      <c r="P332" s="4"/>
      <c r="Q332" s="8" t="s">
        <v>35</v>
      </c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 ht="16.5" customHeight="1">
      <c r="A333" s="3" t="s">
        <v>13</v>
      </c>
      <c r="B333" s="2"/>
      <c r="C333" s="18">
        <f>'2025'!C186</f>
        <v>-130</v>
      </c>
      <c r="D333" s="18">
        <f>'2025'!D186</f>
        <v>100</v>
      </c>
      <c r="E333" s="18">
        <f>'2025'!E186</f>
        <v>-160</v>
      </c>
      <c r="F333" s="18">
        <f>'2025'!F186</f>
        <v>-175</v>
      </c>
      <c r="G333" s="18">
        <f>'2025'!G186</f>
        <v>-115</v>
      </c>
      <c r="H333" s="18">
        <f>'2025'!H186</f>
        <v>-150</v>
      </c>
      <c r="I333" s="18">
        <f>'2025'!I186</f>
        <v>-150</v>
      </c>
      <c r="J333" s="18">
        <f>'2025'!J186</f>
        <v>-120</v>
      </c>
      <c r="K333" s="18">
        <f>'2025'!K186</f>
        <v>-120</v>
      </c>
      <c r="L333" s="18">
        <f>'2025'!L186</f>
        <v>-115</v>
      </c>
      <c r="M333" s="2">
        <v>15.0</v>
      </c>
      <c r="N333" s="3" t="s">
        <v>36</v>
      </c>
      <c r="O333" s="10">
        <f>IF(AND(C333="",AND(D333="",AND(E333="",AND(F333="",AND(G333="",AND(H333="",AND(I333="",AND(J333="",AND(K333="",L333=""))))))))),"",10+IF((IF(((IF(C333="",1,IF(C333&gt;0,(C333/100)+1,(100/((-1)*C333))+1)))*(IF(D333="",1,IF(D333&gt;0,(D333/100)+1,(100/((-1)*D333))+1)))*(IF(E333="",1,IF(E333&gt;0,(E333/100)+1,(100/((-1)*E333))+1)))*(IF(F333="",1,IF(F333&gt;0,(F333/100)+1,(100/((-1)*F333))+1)))*(IF(G333="",1,IF(G333&gt;0,(G333/100)+1,(100/((-1)*G333))+1)))*(IF(H333="",1,IF(H333&gt;0,(H333/100)+1,(100/((-1)*H333))+1)))*(IF(I333="",1,IF(I333&gt;0,(I333/100)+1,(100/((-1)*I333))+1)))*(IF(J333="",1,IF(J333&gt;0,(J333/100)+1,(100/((-1)*J333))+1)))*(IF(K333="",1,IF(K333&gt;0,(K333/100)+1,(100/((-1)*K333))+1)))*(IF(L333="",1,IF(L333&gt;0,(L333/100)+1,(100/((-1)*L333))+1))))&lt;2,((-100)/(((IF(C333="",1,IF(C333&gt;0,(C333/100)+1,(100/((-1)*C333))+1)))*(IF(D333="",1,IF(D333&gt;0,(D333/100)+1,(100/((-1)*D333))+1)))*(IF(E333="",1,IF(E333&gt;0,(E333/100)+1,(100/((-1)*E333))+1)))*(IF(F333="",1,IF(F333&gt;0,(F333/100)+1,(100/((-1)*F333))+1)))*(IF(G333="",1,IF(G333&gt;0,(G333/100)+1,(100/((-1)*G333))+1)))*(IF(H333="",1,IF(H333&gt;0,(H333/100)+1,(100/((-1)*H333))+1)))*(IF(I333="",1,IF(I333&gt;0,(I333/100)+1,(100/((-1)*I333))+1)))*(IF(J333="",1,IF(J333&gt;0,(J333/100)+1,(100/((-1)*J333))+1)))*(IF(K333="",1,IF(K333&gt;0,(K333/100)+1,(100/((-1)*K333))+1)))*(IF(L333="",1,IF(L333&gt;0,(L333/100)+1,(100/((-1)*L333))+1))))-1)),((((IF(C333="",1,IF(C333&gt;0,(C333/100)+1,(100/((-1)*C333))+1)))*(IF(D333="",1,IF(D333&gt;0,(D333/100)+1,(100/((-1)*D333))+1)))*(IF(E333="",1,IF(E333&gt;0,(E333/100)+1,(100/((-1)*E333))+1)))*(IF(F333="",1,IF(F333&gt;0,(F333/100)+1,(100/((-1)*F333))+1)))*(IF(G333="",1,IF(G333&gt;0,(G333/100)+1,(100/((-1)*G333))+1)))*(IF(H333="",1,IF(H333&gt;0,(H333/100)+1,(100/((-1)*H333))+1)))*(IF(I333="",1,IF(I333&gt;0,(I333/100)+1,(100/((-1)*I333))+1)))*(IF(J333="",1,IF(J333&gt;0,(J333/100)+1,(100/((-1)*J333))+1)))*(IF(K333="",1,IF(K333&gt;0,(K333/100)+1,(100/((-1)*K333))+1)))*(IF(L333="",1,IF(L333&gt;0,(L333/100)+1,(100/((-1)*L333))+1))))-1)*(100))))&lt;0,(((-100)/((IF(((IF(C333="",1,IF(C333&gt;0,(C333/100)+1,(100/((-1)*C333))+1)))*(IF(D333="",1,IF(D333&gt;0,(D333/100)+1,(100/((-1)*D333))+1)))*(IF(E333="",1,IF(E333&gt;0,(E333/100)+1,(100/((-1)*E333))+1)))*(IF(F333="",1,IF(F333&gt;0,(F333/100)+1,(100/((-1)*F333))+1)))*(IF(G333="",1,IF(G333&gt;0,(G333/100)+1,(100/((-1)*G333))+1)))*(IF(H333="",1,IF(H333&gt;0,(H333/100)+1,(100/((-1)*H333))+1)))*(IF(I333="",1,IF(I333&gt;0,(I333/100)+1,(100/((-1)*I333))+1)))*(IF(J333="",1,IF(J333&gt;0,(J333/100)+1,(100/((-1)*J333))+1)))*(IF(K333="",1,IF(K333&gt;0,(K333/100)+1,(100/((-1)*K333))+1)))*(IF(L333="",1,IF(L333&gt;0,(L333/100)+1,(100/((-1)*L333))+1))))&lt;2,((-100)/(((IF(C333="",1,IF(C333&gt;0,(C333/100)+1,(100/((-1)*C333))+1)))*(IF(D333="",1,IF(D333&gt;0,(D333/100)+1,(100/((-1)*D333))+1)))*(IF(E333="",1,IF(E333&gt;0,(E333/100)+1,(100/((-1)*E333))+1)))*(IF(F333="",1,IF(F333&gt;0,(F333/100)+1,(100/((-1)*F333))+1)))*(IF(G333="",1,IF(G333&gt;0,(G333/100)+1,(100/((-1)*G333))+1)))*(IF(H333="",1,IF(H333&gt;0,(H333/100)+1,(100/((-1)*H333))+1)))*(IF(I333="",1,IF(I333&gt;0,(I333/100)+1,(100/((-1)*I333))+1)))*(IF(J333="",1,IF(J333&gt;0,(J333/100)+1,(100/((-1)*J333))+1)))*(IF(K333="",1,IF(K333&gt;0,(K333/100)+1,(100/((-1)*K333))+1)))*(IF(L333="",1,IF(L333&gt;0,(L333/100)+1,(100/((-1)*L333))+1))))-1)),((((IF(C333="",1,IF(C333&gt;0,(C333/100)+1,(100/((-1)*C333))+1)))*(IF(D333="",1,IF(D333&gt;0,(D333/100)+1,(100/((-1)*D333))+1)))*(IF(E333="",1,IF(E333&gt;0,(E333/100)+1,(100/((-1)*E333))+1)))*(IF(F333="",1,IF(F333&gt;0,(F333/100)+1,(100/((-1)*F333))+1)))*(IF(G333="",1,IF(G333&gt;0,(G333/100)+1,(100/((-1)*G333))+1)))*(IF(H333="",1,IF(H333&gt;0,(H333/100)+1,(100/((-1)*H333))+1)))*(IF(I333="",1,IF(I333&gt;0,(I333/100)+1,(100/((-1)*I333))+1)))*(IF(J333="",1,IF(J333&gt;0,(J333/100)+1,(100/((-1)*J333))+1)))*(IF(K333="",1,IF(K333&gt;0,(K333/100)+1,(100/((-1)*K333))+1)))*(IF(L333="",1,IF(L333&gt;0,(L333/100)+1,(100/((-1)*L333))+1))))-1)*(100))))))*10),(((IF(((IF(C333="",1,IF(C333&gt;0,(C333/100)+1,(100/((-1)*C333))+1)))*(IF(D333="",1,IF(D333&gt;0,(D333/100)+1,(100/((-1)*D333))+1)))*(IF(E333="",1,IF(E333&gt;0,(E333/100)+1,(100/((-1)*E333))+1)))*(IF(F333="",1,IF(F333&gt;0,(F333/100)+1,(100/((-1)*F333))+1)))*(IF(G333="",1,IF(G333&gt;0,(G333/100)+1,(100/((-1)*G333))+1)))*(IF(H333="",1,IF(H333&gt;0,(H333/100)+1,(100/((-1)*H333))+1)))*(IF(I333="",1,IF(I333&gt;0,(I333/100)+1,(100/((-1)*I333))+1)))*(IF(J333="",1,IF(J333&gt;0,(J333/100)+1,(100/((-1)*J333))+1)))*(IF(K333="",1,IF(K333&gt;0,(K333/100)+1,(100/((-1)*K333))+1)))*(IF(L333="",1,IF(L333&gt;0,(L333/100)+1,(100/((-1)*L333))+1))))&lt;2,((-100)/(((IF(C333="",1,IF(C333&gt;0,(C333/100)+1,(100/((-1)*C333))+1)))*(IF(D333="",1,IF(D333&gt;0,(D333/100)+1,(100/((-1)*D333))+1)))*(IF(E333="",1,IF(E333&gt;0,(E333/100)+1,(100/((-1)*E333))+1)))*(IF(F333="",1,IF(F333&gt;0,(F333/100)+1,(100/((-1)*F333))+1)))*(IF(G333="",1,IF(G333&gt;0,(G333/100)+1,(100/((-1)*G333))+1)))*(IF(H333="",1,IF(H333&gt;0,(H333/100)+1,(100/((-1)*H333))+1)))*(IF(I333="",1,IF(I333&gt;0,(I333/100)+1,(100/((-1)*I333))+1)))*(IF(J333="",1,IF(J333&gt;0,(J333/100)+1,(100/((-1)*J333))+1)))*(IF(K333="",1,IF(K333&gt;0,(K333/100)+1,(100/((-1)*K333))+1)))*(IF(L333="",1,IF(L333&gt;0,(L333/100)+1,(100/((-1)*L333))+1))))-1)),((((IF(C333="",1,IF(C333&gt;0,(C333/100)+1,(100/((-1)*C333))+1)))*(IF(D333="",1,IF(D333&gt;0,(D333/100)+1,(100/((-1)*D333))+1)))*(IF(E333="",1,IF(E333&gt;0,(E333/100)+1,(100/((-1)*E333))+1)))*(IF(F333="",1,IF(F333&gt;0,(F333/100)+1,(100/((-1)*F333))+1)))*(IF(G333="",1,IF(G333&gt;0,(G333/100)+1,(100/((-1)*G333))+1)))*(IF(H333="",1,IF(H333&gt;0,(H333/100)+1,(100/((-1)*H333))+1)))*(IF(I333="",1,IF(I333&gt;0,(I333/100)+1,(100/((-1)*I333))+1)))*(IF(J333="",1,IF(J333&gt;0,(J333/100)+1,(100/((-1)*J333))+1)))*(IF(K333="",1,IF(K333&gt;0,(K333/100)+1,(100/((-1)*K333))+1)))*(IF(L333="",1,IF(L333&gt;0,(L333/100)+1,(100/((-1)*L333))+1))))-1)*(100))))/100)*10)))</f>
        <v>2948.655922</v>
      </c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 ht="16.5" customHeight="1">
      <c r="A334" s="3" t="s">
        <v>37</v>
      </c>
      <c r="B334" s="2"/>
      <c r="C334" s="18" t="str">
        <f>'2025'!C187</f>
        <v>Raiders @ Texans</v>
      </c>
      <c r="D334" s="18" t="str">
        <f>'2025'!D187</f>
        <v>Jaguars @ Broncos</v>
      </c>
      <c r="E334" s="18" t="str">
        <f>'2025'!E187</f>
        <v>Buccaneers @ Panthers</v>
      </c>
      <c r="F334" s="18" t="str">
        <f>'2025'!F187</f>
        <v>Bengals @ Dolphins</v>
      </c>
      <c r="G334" s="18" t="str">
        <f>'2025'!G187</f>
        <v>Jets @ Saints</v>
      </c>
      <c r="H334" s="18" t="str">
        <f>'2025'!H187</f>
        <v>Steelers @ Lions</v>
      </c>
      <c r="I334" s="18" t="str">
        <f>'2025'!I187</f>
        <v>Vikings @ Giants</v>
      </c>
      <c r="J334" s="18" t="str">
        <f>'2025'!J187</f>
        <v>Falcons @ Cardinals</v>
      </c>
      <c r="K334" s="18" t="str">
        <f>'2025'!K187</f>
        <v>Chiefs @ Titans</v>
      </c>
      <c r="L334" s="18" t="str">
        <f>'2025'!L187</f>
        <v>Patriots @ Ravens</v>
      </c>
      <c r="M334" s="2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 ht="16.5" customHeight="1">
      <c r="A335" s="3" t="s">
        <v>48</v>
      </c>
      <c r="B335" s="2"/>
      <c r="C335" s="18" t="str">
        <f>'2025'!C188</f>
        <v>C.J. Stroud 1 Pass TD &amp; Texans Win</v>
      </c>
      <c r="D335" s="18" t="str">
        <f>'2025'!D188</f>
        <v>34-20</v>
      </c>
      <c r="E335" s="18" t="str">
        <f>'2025'!E188</f>
        <v>20-23</v>
      </c>
      <c r="F335" s="18" t="str">
        <f>'2025'!F188</f>
        <v>45-21</v>
      </c>
      <c r="G335" s="32">
        <f>'2025'!G188</f>
        <v>46202</v>
      </c>
      <c r="H335" s="18" t="str">
        <f>'2025'!H188</f>
        <v>29-24</v>
      </c>
      <c r="I335" s="18" t="str">
        <f>'2025'!I188</f>
        <v>16-13</v>
      </c>
      <c r="J335" s="18" t="str">
        <f>'2025'!J188</f>
        <v>26-19</v>
      </c>
      <c r="K335" s="32">
        <f>'2025'!K188</f>
        <v>46291</v>
      </c>
      <c r="L335" s="18" t="str">
        <f>'2025'!L188</f>
        <v>28-24</v>
      </c>
      <c r="M335" s="2"/>
      <c r="N335" s="4"/>
      <c r="O335" s="3" t="s">
        <v>56</v>
      </c>
      <c r="P335" s="3" t="s">
        <v>57</v>
      </c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 ht="16.5" customHeight="1">
      <c r="A336" s="3" t="s">
        <v>59</v>
      </c>
      <c r="B336" s="2"/>
      <c r="C336" s="18" t="str">
        <f>'2025'!C189</f>
        <v>L</v>
      </c>
      <c r="D336" s="18" t="str">
        <f>'2025'!D189</f>
        <v>L</v>
      </c>
      <c r="E336" s="18" t="str">
        <f>'2025'!E189</f>
        <v>L</v>
      </c>
      <c r="F336" s="18" t="str">
        <f>'2025'!F189</f>
        <v>W</v>
      </c>
      <c r="G336" s="18" t="str">
        <f>'2025'!G189</f>
        <v>W</v>
      </c>
      <c r="H336" s="18" t="str">
        <f>'2025'!H189</f>
        <v>L</v>
      </c>
      <c r="I336" s="18" t="str">
        <f>'2025'!I189</f>
        <v>W</v>
      </c>
      <c r="J336" s="18" t="str">
        <f>'2025'!J189</f>
        <v>W</v>
      </c>
      <c r="K336" s="18" t="str">
        <f>'2025'!K189</f>
        <v>W</v>
      </c>
      <c r="L336" s="18" t="str">
        <f>'2025'!L189</f>
        <v>W</v>
      </c>
      <c r="M336" s="2"/>
      <c r="N336" s="3" t="s">
        <v>65</v>
      </c>
      <c r="O336" s="12" t="str">
        <f>IFERROR(__xludf.DUMMYFUNCTION("IF(OR(COUNTA(C333:L333) = 0, COUNTA(C336:L336) = 0), """", IFERROR(TEXTJOIN("", "", TRUE, FILTER(C330:L330, (C336:L336 = ""W"") * (C333:L333 = MAX(FILTER(C333:L333, C336:L336 = ""W""))))), """"))"),"Hunter, Trey")</f>
        <v>Hunter, Trey</v>
      </c>
      <c r="P336" s="12" t="str">
        <f>IFERROR(__xludf.DUMMYFUNCTION("IF(COUNTA(C341:L341) = 0, """", IFERROR(TEXTJOIN("", "", TRUE, FILTER(C330:L330, C341:L341 = MAX(C341:L341))), """"))"),"Trey")</f>
        <v>Trey</v>
      </c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 ht="16.5" customHeight="1">
      <c r="A337" s="1" t="s">
        <v>81</v>
      </c>
      <c r="B337" s="2"/>
      <c r="C337" s="4">
        <f t="shared" ref="C337:L337" si="101">IF(OR(C333="",C336=""),"",C324+COUNTIF(C336,"W"))</f>
        <v>15</v>
      </c>
      <c r="D337" s="4">
        <f t="shared" si="101"/>
        <v>17</v>
      </c>
      <c r="E337" s="4">
        <f t="shared" si="101"/>
        <v>13</v>
      </c>
      <c r="F337" s="4">
        <f t="shared" si="101"/>
        <v>14</v>
      </c>
      <c r="G337" s="4">
        <f t="shared" si="101"/>
        <v>15</v>
      </c>
      <c r="H337" s="4">
        <f t="shared" si="101"/>
        <v>12</v>
      </c>
      <c r="I337" s="4">
        <f t="shared" si="101"/>
        <v>13</v>
      </c>
      <c r="J337" s="4">
        <f t="shared" si="101"/>
        <v>13</v>
      </c>
      <c r="K337" s="4">
        <f t="shared" si="101"/>
        <v>12</v>
      </c>
      <c r="L337" s="4">
        <f t="shared" si="101"/>
        <v>16</v>
      </c>
      <c r="M337" s="2"/>
      <c r="N337" s="3" t="s">
        <v>82</v>
      </c>
      <c r="O337" s="4" t="str">
        <f>IFERROR(__xludf.DUMMYFUNCTION("IF(OR(COUNTA(C333:L333) = 0, COUNTA(C336:L336) = 0), """", IFERROR(TEXTJOIN("", "", TRUE, FILTER(C330:L330, (C336:L336 = ""L"") * (C333:L333 = MIN(FILTER(C333:L333, C336:L336 = ""L""))))), """"))"),"Clayton")</f>
        <v>Clayton</v>
      </c>
      <c r="P337" s="12" t="str">
        <f>IFERROR(__xludf.DUMMYFUNCTION("IF(COUNTA(C341:L341) = 0, """", IFERROR(TEXTJOIN("", "", TRUE, FILTER(C330:L330, C341:L341 = MIN(C341:L341))), """"))"),"Taylon")</f>
        <v>Taylon</v>
      </c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 ht="16.5" customHeight="1">
      <c r="A338" s="1" t="s">
        <v>83</v>
      </c>
      <c r="B338" s="2"/>
      <c r="C338" s="27">
        <f t="shared" ref="C338:L338" si="102">IF(OR(C333="",C336=""),"",C325+COUNTIF(C336,"L"))</f>
        <v>11</v>
      </c>
      <c r="D338" s="27">
        <f t="shared" si="102"/>
        <v>9</v>
      </c>
      <c r="E338" s="27">
        <f t="shared" si="102"/>
        <v>13</v>
      </c>
      <c r="F338" s="27">
        <f t="shared" si="102"/>
        <v>12</v>
      </c>
      <c r="G338" s="27">
        <f t="shared" si="102"/>
        <v>11</v>
      </c>
      <c r="H338" s="27">
        <f t="shared" si="102"/>
        <v>14</v>
      </c>
      <c r="I338" s="27">
        <f t="shared" si="102"/>
        <v>13</v>
      </c>
      <c r="J338" s="27">
        <f t="shared" si="102"/>
        <v>13</v>
      </c>
      <c r="K338" s="27">
        <f t="shared" si="102"/>
        <v>14</v>
      </c>
      <c r="L338" s="27">
        <f t="shared" si="102"/>
        <v>10</v>
      </c>
      <c r="M338" s="2"/>
      <c r="N338" s="3" t="s">
        <v>84</v>
      </c>
      <c r="O338" s="12" t="str">
        <f>IFERROR(__xludf.DUMMYFUNCTION("IF(COUNTA(C333:L333) = 0, """", IFERROR(TEXTJOIN("", "", TRUE, FILTER(C330:L330, C333:L333 = MAX(C333:L333))), """"))"),"Carson")</f>
        <v>Carson</v>
      </c>
      <c r="P338" s="4" t="str">
        <f>IFERROR(__xludf.DUMMYFUNCTION("IF(COUNTA(C333:L333) = 0, """", IFERROR(TEXTJOIN("", "", TRUE, FILTER(C330:L330, C340:L340 = MAX(C340:L340))), """"))"),"Jake")</f>
        <v>Jake</v>
      </c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 ht="16.5" customHeight="1">
      <c r="A339" s="3" t="s">
        <v>85</v>
      </c>
      <c r="B339" s="2"/>
      <c r="C339" s="24">
        <f t="shared" ref="C339:L339" si="103">IF(OR(C333="",C336=""),"",(C337/(C337+C338)))</f>
        <v>0.5769230769</v>
      </c>
      <c r="D339" s="24">
        <f t="shared" si="103"/>
        <v>0.6538461538</v>
      </c>
      <c r="E339" s="24">
        <f t="shared" si="103"/>
        <v>0.5</v>
      </c>
      <c r="F339" s="24">
        <f t="shared" si="103"/>
        <v>0.5384615385</v>
      </c>
      <c r="G339" s="24">
        <f t="shared" si="103"/>
        <v>0.5769230769</v>
      </c>
      <c r="H339" s="24">
        <f t="shared" si="103"/>
        <v>0.4615384615</v>
      </c>
      <c r="I339" s="24">
        <f t="shared" si="103"/>
        <v>0.5</v>
      </c>
      <c r="J339" s="24">
        <f t="shared" si="103"/>
        <v>0.5</v>
      </c>
      <c r="K339" s="24">
        <f t="shared" si="103"/>
        <v>0.4615384615</v>
      </c>
      <c r="L339" s="24">
        <f t="shared" si="103"/>
        <v>0.6153846154</v>
      </c>
      <c r="M339" s="14"/>
      <c r="N339" s="3" t="s">
        <v>86</v>
      </c>
      <c r="O339" s="4" t="str">
        <f>IFERROR(__xludf.DUMMYFUNCTION("IF(COUNTA(C333:L333) = 0, """", IFERROR(TEXTJOIN("", "", TRUE, FILTER(C330:L330, C333:L333 = MIN(C333:L333))), """"))"),"Dan")</f>
        <v>Dan</v>
      </c>
      <c r="P339" s="4" t="str">
        <f>IFERROR(__xludf.DUMMYFUNCTION("IF(COUNTA(C333:L333) = 0, """", IFERROR(TEXTJOIN("", "", TRUE, FILTER(C330:L330, C340:L340 = MIN(C340:L340))), """"))"),"Carson")</f>
        <v>Carson</v>
      </c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 ht="16.5" customHeight="1">
      <c r="A340" s="3" t="s">
        <v>87</v>
      </c>
      <c r="B340" s="2"/>
      <c r="C340" s="25">
        <f t="shared" ref="C340:L340" si="104">IF(C333="","",IF(((IF(C333 &lt;0,((-100/C333)+1),((C333/100)+1))+(IF(C327&lt;0,((-100/C327)+1),((C327/100)+1)))*(C324+C325))/(C324+C325+1))&lt;2,(-100/(((IF(C333 &lt;0,((-100/C333)+1),((C333/100)+1))+(IF(C327&lt;0,((-100/C327)+1),((C327/100)+1)))*(C324+C325))/(C324+C325+1))-1)),(((IF(C333 &lt;0,((-100/C333)+1),((C333/100)+1))+(IF(C327&lt;0,((-100/C327)+1),((C327/100)+1)))*(C324+C325))/(C324+C325+1))-1)*100))</f>
        <v>-119.826417</v>
      </c>
      <c r="D340" s="25">
        <f t="shared" si="104"/>
        <v>-130.8393487</v>
      </c>
      <c r="E340" s="25">
        <f t="shared" si="104"/>
        <v>-123.8106534</v>
      </c>
      <c r="F340" s="25">
        <f t="shared" si="104"/>
        <v>-121.5514573</v>
      </c>
      <c r="G340" s="25">
        <f t="shared" si="104"/>
        <v>-104.296817</v>
      </c>
      <c r="H340" s="25">
        <f t="shared" si="104"/>
        <v>-102.2290047</v>
      </c>
      <c r="I340" s="25">
        <f t="shared" si="104"/>
        <v>-120.8358965</v>
      </c>
      <c r="J340" s="25">
        <f t="shared" si="104"/>
        <v>-125.3878614</v>
      </c>
      <c r="K340" s="25">
        <f t="shared" si="104"/>
        <v>-120.3093118</v>
      </c>
      <c r="L340" s="25">
        <f t="shared" si="104"/>
        <v>-110.5866278</v>
      </c>
      <c r="M340" s="14"/>
      <c r="N340" s="4"/>
      <c r="O340" s="12"/>
      <c r="P340" s="12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 ht="16.5" customHeight="1">
      <c r="A341" s="16" t="s">
        <v>88</v>
      </c>
      <c r="B341" s="2"/>
      <c r="C341" s="26">
        <f>IFERROR(__xludf.DUMMYFUNCTION("IF(OR(C333="""",C336=""""),"""",IF(REGEXMATCH(C336,""W""),IF(C333&lt;0,((-100/C333))*10+C328,((C333/100)*10+C328)),-10+C328))"),9.969587306851139)</f>
        <v>9.969587307</v>
      </c>
      <c r="D341" s="26">
        <f>IFERROR(__xludf.DUMMYFUNCTION("IF(OR(D333="""",D336=""""),"""",IF(REGEXMATCH(D336,""W""),IF(D333&lt;0,((-100/D333))*10+D328,((D333/100)*10+D328)),-10+D328))"),33.88045097336281)</f>
        <v>33.88045097</v>
      </c>
      <c r="E341" s="26">
        <f>IFERROR(__xludf.DUMMYFUNCTION("IF(OR(E333="""",E336=""""),"""",IF(REGEXMATCH(E336,""W""),IF(E333&lt;0,((-100/E333))*10+E328,((E333/100)*10+E328)),-10+E328))"),-26.29181993812294)</f>
        <v>-26.29181994</v>
      </c>
      <c r="F341" s="26">
        <f>IFERROR(__xludf.DUMMYFUNCTION("IF(OR(F333="""",F336=""""),"""",IF(REGEXMATCH(F336,""W""),IF(F333&lt;0,((-100/F333))*10+F328,((F333/100)*10+F328)),-10+F328))"),-10.148568635900963)</f>
        <v>-10.14856864</v>
      </c>
      <c r="G341" s="26">
        <f>IFERROR(__xludf.DUMMYFUNCTION("IF(OR(G333="""",G336=""""),"""",IF(REGEXMATCH(G336,""W""),IF(G333&lt;0,((-100/G333))*10+G328,((G333/100)*10+G328)),-10+G328))"),16.641426308573585)</f>
        <v>16.64142631</v>
      </c>
      <c r="H341" s="26">
        <f>IFERROR(__xludf.DUMMYFUNCTION("IF(OR(H333="""",H336=""""),"""",IF(REGEXMATCH(H336,""W""),IF(H333&lt;0,((-100/H333))*10+H328,((H333/100)*10+H328)),-10+H328))"),-23.954715968377887)</f>
        <v>-23.95471597</v>
      </c>
      <c r="I341" s="26">
        <f>IFERROR(__xludf.DUMMYFUNCTION("IF(OR(I333="""",I336=""""),"""",IF(REGEXMATCH(I336,""W""),IF(I333&lt;0,((-100/I333))*10+I328,((I333/100)*10+I328)),-10+I328))"),-31.58808032584499)</f>
        <v>-31.58808033</v>
      </c>
      <c r="J341" s="26">
        <f>IFERROR(__xludf.DUMMYFUNCTION("IF(OR(J333="""",J336=""""),"""",IF(REGEXMATCH(J336,""W""),IF(J333&lt;0,((-100/J333))*10+J328,((J333/100)*10+J328)),-10+J328))"),-25.82134791414007)</f>
        <v>-25.82134791</v>
      </c>
      <c r="K341" s="26">
        <f>IFERROR(__xludf.DUMMYFUNCTION("IF(OR(K333="""",K336=""""),"""",IF(REGEXMATCH(K336,""W""),IF(K333&lt;0,((-100/K333))*10+K328,((K333/100)*10+K328)),-10+K328))"),-41.43377474184487)</f>
        <v>-41.43377474</v>
      </c>
      <c r="L341" s="26">
        <f>IFERROR(__xludf.DUMMYFUNCTION("IF(OR(L333="""",L336=""""),"""",IF(REGEXMATCH(L336,""W""),IF(L333&lt;0,((-100/L333))*10+L328,((L333/100)*10+L328)),-10+L328))"),45.60727884389868)</f>
        <v>45.60727884</v>
      </c>
      <c r="M341" s="14"/>
      <c r="N341" s="16" t="s">
        <v>89</v>
      </c>
      <c r="O341" s="10">
        <f>IFERROR(__xludf.DUMMYFUNCTION("IF(AND(C341="""",AND(D341="""",AND(E341="""",AND(F341="""",AND(G341="""",AND(H341="""",AND(I341="""",AND(J341="""",AND(K341="""",L341=""""))))))))),"""",(IF(C336="""",0,IF(REGEXMATCH(C336,""W""),IF(C333&lt;0,((-100/C333))*10,((C333/100)*10)),-10))+IF(D336="""&amp;""",0,IF(REGEXMATCH(D336,""W""),IF(D333&lt;0,((-100/D333))*10,((D333/100)*10)),-10))+IF(E336="""",0,IF(REGEXMATCH(E336,""W""),IF(E333&lt;0,((-100/E333))*10,((E333/100)*10)),-10))+IF(F336="""",0,IF(REGEXMATCH(F336,""W""),IF(F333&lt;0,((-100/F333))*10,((F333/100)*10)"&amp;"),-10))+IF(G336="""",0,IF(REGEXMATCH(G336,""W""),IF(G333&lt;0,((-100/G333))*10,((G333/100)*10)),-10))+IF(H336="""",0,IF(REGEXMATCH(H336,""W""),IF(H333&lt;0,((-100/H333))*10,((H333/100)*10)),-10))+IF(I336="""",0,IF(REGEXMATCH(I336,""W""),IF(I333&lt;0,((-100/I333))*"&amp;"10,((I333/100)*10)),-10))+IF(J336="""",0,IF(REGEXMATCH(J336,""W""),IF(J333&lt;0,((-100/J333))*10,((J333/100)*10)),-10))+IF(K336="""",0,IF(REGEXMATCH(K336,""W""),IF(K333&lt;0,((-100/K333))*10,((K333/100)*10)),-10))+IF(L336="""",0,IF(REGEXMATCH(L336,""W""),IF(L33"&amp;"3&lt;0,((-100/L333))*10,((L333/100)*10)),-10))))"),6.438923395445137)</f>
        <v>6.438923395</v>
      </c>
      <c r="P341" s="10">
        <f>IFERROR(__xludf.DUMMYFUNCTION("IF(AND(C341="""",AND(D341="""",AND(E341="""",AND(F341="""",AND(G341="""",AND(H341="""",AND(I341="""",AND(J341="""",AND(K341="""",L341=""""))))))))),"""",(P328+IF(C336="""",0,IF(REGEXMATCH(C336,""W""),IF(C333&lt;0,((-100/C333))*10,((C333/100)*10)),-10))+IF(D3"&amp;"36="""",0,IF(REGEXMATCH(D336,""W""),IF(D333&lt;0,((-100/D333))*10,((D333/100)*10)),-10))+IF(E336="""",0,IF(REGEXMATCH(E336,""W""),IF(E333&lt;0,((-100/E333))*10,((E333/100)*10)),-10))+IF(F336="""",0,IF(REGEXMATCH(F336,""W""),IF(F333&lt;0,((-100/F333))*10,((F333/100"&amp;")*10)),-10))+IF(G336="""",0,IF(REGEXMATCH(G336,""W""),IF(G333&lt;0,((-100/G333))*10,((G333/100)*10)),-10))+IF(H336="""",0,IF(REGEXMATCH(H336,""W""),IF(H333&lt;0,((-100/H333))*10,((H333/100)*10)),-10))+IF(I336="""",0,IF(REGEXMATCH(I336,""W""),IF(I333&lt;0,((-100/I3"&amp;"33))*10,((I333/100)*10)),-10))+IF(J336="""",0,IF(REGEXMATCH(J336,""W""),IF(J333&lt;0,((-100/J333))*10,((J333/100)*10)),-10))+IF(K336="""",0,IF(REGEXMATCH(K336,""W""),IF(K333&lt;0,((-100/K333))*10,((K333/100)*10)),-10))+IF(L336="""",0,IF(REGEXMATCH(L336,""W""),I"&amp;"F(L333&lt;0,((-100/L333))*10,((L333/100)*10)),-10))))"),-53.13956409154562)</f>
        <v>-53.13956409</v>
      </c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>
      <c r="A343" s="34" t="s">
        <v>713</v>
      </c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>
      <c r="A347" s="3"/>
      <c r="B347" s="4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>
      <c r="A348" s="3"/>
      <c r="B348" s="4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4"/>
      <c r="N348" s="4"/>
      <c r="O348" s="3"/>
      <c r="P348" s="3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>
      <c r="A349" s="3"/>
      <c r="B349" s="4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4"/>
      <c r="N349" s="3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>
      <c r="A350" s="1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3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>
      <c r="A351" s="1"/>
      <c r="B351" s="4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4"/>
      <c r="N351" s="3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>
      <c r="A352" s="3"/>
      <c r="B352" s="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13"/>
      <c r="N352" s="3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>
      <c r="A353" s="3"/>
      <c r="B353" s="4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13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>
      <c r="A354" s="16"/>
      <c r="B354" s="4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13"/>
      <c r="N354" s="16"/>
      <c r="O354" s="10"/>
      <c r="P354" s="10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>
      <c r="A356" s="1"/>
      <c r="B356" s="4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4"/>
      <c r="N356" s="4"/>
      <c r="O356" s="3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>
      <c r="A358" s="3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3"/>
      <c r="O358" s="7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>
      <c r="A359" s="3"/>
      <c r="B359" s="4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4"/>
      <c r="N359" s="3"/>
      <c r="O359" s="10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>
      <c r="A360" s="3"/>
      <c r="B360" s="4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>
      <c r="A361" s="3"/>
      <c r="B361" s="4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4"/>
      <c r="N361" s="4"/>
      <c r="O361" s="3"/>
      <c r="P361" s="3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>
      <c r="A362" s="3"/>
      <c r="B362" s="4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4"/>
      <c r="N362" s="3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>
      <c r="A363" s="1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3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>
      <c r="A364" s="1"/>
      <c r="B364" s="4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4"/>
      <c r="N364" s="3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>
      <c r="A365" s="3"/>
      <c r="B365" s="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13"/>
      <c r="N365" s="3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>
      <c r="A366" s="3"/>
      <c r="B366" s="4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13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>
      <c r="A367" s="16"/>
      <c r="B367" s="4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13"/>
      <c r="N367" s="16"/>
      <c r="O367" s="10"/>
      <c r="P367" s="10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>
      <c r="A369" s="1"/>
      <c r="B369" s="4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4"/>
      <c r="N369" s="4"/>
      <c r="O369" s="3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</row>
  </sheetData>
  <mergeCells count="2">
    <mergeCell ref="A145:Q147"/>
    <mergeCell ref="A343:Q346"/>
  </mergeCells>
  <conditionalFormatting sqref="C8:L8 C21:L21 C34:L34 C47:L47 C60:L60 C73:L73 C86:L86 C99:L99 C112:L112 C125:L125 C138:L138">
    <cfRule type="cellIs" dxfId="0" priority="1" operator="equal">
      <formula>"W"</formula>
    </cfRule>
  </conditionalFormatting>
  <conditionalFormatting sqref="C13:L13 C26:L26 C39:L39 C52:L52 C65:L65 C78:L78 C91:L91 C104:L104 C117:L117 C130:L130 C143:L143">
    <cfRule type="cellIs" dxfId="1" priority="2" operator="lessThan">
      <formula>0</formula>
    </cfRule>
  </conditionalFormatting>
  <conditionalFormatting sqref="C13:L13 C26:L26 C39:L39 C52:L52 C65:L65 C78:L78 C91:L91 C104:L104 C117:L117 C130:L130 C143:L143">
    <cfRule type="cellIs" dxfId="0" priority="3" operator="greaterThan">
      <formula>0</formula>
    </cfRule>
  </conditionalFormatting>
  <conditionalFormatting sqref="C8:L8 C21:L21 C34:L34 C47:L47 C60:L60 C73:L73 C86:L86 C99:L99 C112:L112 C125:L125 C138:L138">
    <cfRule type="cellIs" dxfId="1" priority="4" operator="equal">
      <formula>"L"</formula>
    </cfRule>
  </conditionalFormatting>
  <conditionalFormatting sqref="O13:P13 O26:P26 O39:P39 O52:P52 O65:P65 O78:P78 O91:P91 O104:P104 O117:P117 O130:P130 O143:P143 O156:P156 O159:P159 O169:P169 O172:P172 O182:P182 O185:P185 O195:P195 O198:P198 O208:P208 O211:P211 O221:P221 O224:P224 O234:P234 O237:P237 O247:P247 O250:P250 O260:P260 O263:P263 O273:P273 O276:P276 O286:P286 O289:P289 O299:P299 O302:P302 O312:P312 O315:P315 O325:P325 O328:P328 O338:P338 O341:P341 O351:P351 O354:P354 O364:P364 O367:P367">
    <cfRule type="cellIs" dxfId="0" priority="5" operator="greaterThan">
      <formula>0</formula>
    </cfRule>
  </conditionalFormatting>
  <conditionalFormatting sqref="O13:P13 O26:P26 O39:P39 O52:P52 O65:P65 O78:P78 O91:P91 O104:P104 O117:P117 O130:P130 O143:P143 O156:P156 O159:P159 O169:P169 O172:P172 O182:P182 O185:P185 O195:P195 O198:P198 O208:P208 O211:P211 O221:P221 O224:P224 O234:P234 O237:P237 O247:P247 O250:P250 O260:P260 O263:P263 O273:P273 O276:P276 O286:P286 O289:P289 O299:P299 O302:P302 O312:P312 O315:P315 O325:P325 O328:P328 O338:P338 O341:P341 O351:P351 O354:P354 O364:P364 O367:P367">
    <cfRule type="cellIs" dxfId="1" priority="6" operator="lessThan">
      <formula>0</formula>
    </cfRule>
  </conditionalFormatting>
  <conditionalFormatting sqref="C154:L154 C258:L258 C271:L271 C284:L284 C297:L297 C310:L310 C323:L323 C336:L336 C349:L349 C362:L362">
    <cfRule type="cellIs" dxfId="0" priority="7" operator="equal">
      <formula>"W"</formula>
    </cfRule>
  </conditionalFormatting>
  <conditionalFormatting sqref="C154:L154 C258:L258 C271:L271 C284:L284 C297:L297 C310:L310 C323:L323 C336:L336 C349:L349 C362:L362">
    <cfRule type="cellIs" dxfId="1" priority="8" operator="equal">
      <formula>"L"</formula>
    </cfRule>
  </conditionalFormatting>
  <conditionalFormatting sqref="C159:L159 O159:P159 C172:L172 O172:P172 C185:L185 O185:P185 C198:L198 O198:P198 C211:L211 O211:P211 C224:L224 O224:P224 C250:L250 O250:P250 C263:L263 O263:P263 C276:L276 O276:P276 C289:L289 O289:P289 C302:L302 O302:P302 C315:L315 O315:P315 C328:L328 O328:P328 C341:L341 O341:P341 C354:L354 O354:P354 C367:L367 O367:P367">
    <cfRule type="cellIs" dxfId="0" priority="9" operator="greaterThanOrEqual">
      <formula>0</formula>
    </cfRule>
  </conditionalFormatting>
  <conditionalFormatting sqref="C159:L159 O159:P159 C172:L172 O172:P172 C185:L185 O185:P185 C198:L198 O198:P198 C211:L211 O211:P211 C224:L224 O224:P224 C250:L250 O250:P250 C263:L263 O263:P263 C276:L276 O276:P276 C289:L289 O289:P289 C302:L302 O302:P302 C315:L315 O315:P315 C328:L328 O328:P328 C341:L341 O341:P341 C354:L354 O354:P354 C367:L367 O367:P367">
    <cfRule type="cellIs" dxfId="1" priority="10" operator="lessThan">
      <formula>0</formula>
    </cfRule>
  </conditionalFormatting>
  <drawing r:id="rId1"/>
</worksheet>
</file>